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안내" sheetId="1" state="visible" r:id="rId3"/>
    <sheet name="S01_필지" sheetId="2" state="visible" r:id="rId4"/>
    <sheet name="S02_토지이용계획" sheetId="3" state="visible" r:id="rId5"/>
    <sheet name="S03_입지" sheetId="4" state="visible" r:id="rId6"/>
    <sheet name="P01_필지_제척" sheetId="5" state="visible" r:id="rId7"/>
    <sheet name="P02_개발규모" sheetId="6" state="visible" r:id="rId8"/>
    <sheet name="P03_인허가리스크" sheetId="7" state="visible" r:id="rId9"/>
    <sheet name="P04_취득원가" sheetId="8" state="visible" r:id="rId10"/>
    <sheet name="P05_비교사례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<sst xmlns="http://schemas.openxmlformats.org/spreadsheetml/2006/main" count="188" uniqueCount="153">
  <si>
    <t xml:space="preserve">입력 안내</t>
  </si>
  <si>
    <r>
      <rPr>
        <sz val="9.5"/>
        <color rgb="FF7A8794"/>
        <rFont val="Arial"/>
        <family val="0"/>
        <charset val="1"/>
      </rPr>
      <t xml:space="preserve">CREDEAL IM Studio — S_ </t>
    </r>
    <r>
      <rPr>
        <sz val="9.5"/>
        <color rgb="FF7A8794"/>
        <rFont val="Noto Sans CJK SC"/>
        <family val="2"/>
      </rPr>
      <t xml:space="preserve">시트 </t>
    </r>
    <r>
      <rPr>
        <sz val="9.5"/>
        <color rgb="FF7A8794"/>
        <rFont val="Arial"/>
        <family val="0"/>
        <charset val="1"/>
      </rPr>
      <t xml:space="preserve">= </t>
    </r>
    <r>
      <rPr>
        <sz val="9.5"/>
        <color rgb="FF7A8794"/>
        <rFont val="Noto Sans CJK SC"/>
        <family val="2"/>
      </rPr>
      <t xml:space="preserve">표준 모드 </t>
    </r>
    <r>
      <rPr>
        <sz val="9.5"/>
        <color rgb="FF7A8794"/>
        <rFont val="Arial"/>
        <family val="0"/>
        <charset val="1"/>
      </rPr>
      <t xml:space="preserve">· P_ </t>
    </r>
    <r>
      <rPr>
        <sz val="9.5"/>
        <color rgb="FF7A8794"/>
        <rFont val="Noto Sans CJK SC"/>
        <family val="2"/>
      </rPr>
      <t xml:space="preserve">시트 </t>
    </r>
    <r>
      <rPr>
        <sz val="9.5"/>
        <color rgb="FF7A8794"/>
        <rFont val="Arial"/>
        <family val="0"/>
        <charset val="1"/>
      </rPr>
      <t xml:space="preserve">= </t>
    </r>
    <r>
      <rPr>
        <sz val="9.5"/>
        <color rgb="FF7A8794"/>
        <rFont val="Noto Sans CJK SC"/>
        <family val="2"/>
      </rPr>
      <t xml:space="preserve">정밀 모드</t>
    </r>
  </si>
  <si>
    <t xml:space="preserve">범례</t>
  </si>
  <si>
    <r>
      <rPr>
        <sz val="10"/>
        <color rgb="FF0000FF"/>
        <rFont val="Noto Sans CJK SC"/>
        <family val="2"/>
      </rPr>
      <t xml:space="preserve">파란 글씨 </t>
    </r>
    <r>
      <rPr>
        <sz val="10"/>
        <color rgb="FF0000FF"/>
        <rFont val="Arial"/>
        <family val="0"/>
        <charset val="1"/>
      </rPr>
      <t xml:space="preserve">= </t>
    </r>
    <r>
      <rPr>
        <sz val="10"/>
        <color rgb="FF0000FF"/>
        <rFont val="Noto Sans CJK SC"/>
        <family val="2"/>
      </rPr>
      <t xml:space="preserve">중개인이 입력하는 값</t>
    </r>
  </si>
  <si>
    <r>
      <rPr>
        <sz val="10"/>
        <rFont val="Noto Sans CJK SC"/>
        <family val="2"/>
      </rPr>
      <t xml:space="preserve">검은 글씨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수식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수정 금지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</si>
  <si>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노란 배경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필수 항목</t>
    </r>
  </si>
  <si>
    <r>
      <rPr>
        <sz val="10"/>
        <color rgb="FF6D4AA8"/>
        <rFont val="Noto Sans CJK SC"/>
        <family val="2"/>
      </rPr>
      <t xml:space="preserve">보라 헤더 </t>
    </r>
    <r>
      <rPr>
        <sz val="10"/>
        <color rgb="FF6D4AA8"/>
        <rFont val="Arial"/>
        <family val="0"/>
        <charset val="1"/>
      </rPr>
      <t xml:space="preserve">= </t>
    </r>
    <r>
      <rPr>
        <sz val="10"/>
        <color rgb="FF6D4AA8"/>
        <rFont val="Noto Sans CJK SC"/>
        <family val="2"/>
      </rPr>
      <t xml:space="preserve">정밀 모드 전용 </t>
    </r>
    <r>
      <rPr>
        <sz val="10"/>
        <color rgb="FF6D4AA8"/>
        <rFont val="Arial"/>
        <family val="0"/>
        <charset val="1"/>
      </rPr>
      <t xml:space="preserve">(</t>
    </r>
    <r>
      <rPr>
        <sz val="10"/>
        <color rgb="FF6D4AA8"/>
        <rFont val="Noto Sans CJK SC"/>
        <family val="2"/>
      </rPr>
      <t xml:space="preserve">가상 증강</t>
    </r>
    <r>
      <rPr>
        <sz val="10"/>
        <color rgb="FF6D4AA8"/>
        <rFont val="Arial"/>
        <family val="0"/>
        <charset val="1"/>
      </rPr>
      <t xml:space="preserve">)</t>
    </r>
  </si>
  <si>
    <t xml:space="preserve">시트 구성</t>
  </si>
  <si>
    <r>
      <rPr>
        <b val="true"/>
        <sz val="10"/>
        <color rgb="FF111827"/>
        <rFont val="Arial"/>
        <family val="0"/>
        <charset val="1"/>
      </rPr>
      <t xml:space="preserve">S01_</t>
    </r>
    <r>
      <rPr>
        <b val="true"/>
        <sz val="10"/>
        <color rgb="FF111827"/>
        <rFont val="Noto Sans CJK SC"/>
        <family val="2"/>
      </rPr>
      <t xml:space="preserve">필지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</si>
  <si>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필지 지번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면적</t>
    </r>
  </si>
  <si>
    <r>
      <rPr>
        <b val="true"/>
        <sz val="10"/>
        <color rgb="FF111827"/>
        <rFont val="Arial"/>
        <family val="0"/>
        <charset val="1"/>
      </rPr>
      <t xml:space="preserve">S02_</t>
    </r>
    <r>
      <rPr>
        <b val="true"/>
        <sz val="10"/>
        <color rgb="FF111827"/>
        <rFont val="Noto Sans CJK SC"/>
        <family val="2"/>
      </rPr>
      <t xml:space="preserve">토지이용계획</t>
    </r>
  </si>
  <si>
    <r>
      <rPr>
        <sz val="10"/>
        <rFont val="Noto Sans CJK SC"/>
        <family val="2"/>
      </rPr>
      <t xml:space="preserve">용도지역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규제</t>
    </r>
  </si>
  <si>
    <r>
      <rPr>
        <b val="true"/>
        <sz val="10"/>
        <color rgb="FF111827"/>
        <rFont val="Arial"/>
        <family val="0"/>
        <charset val="1"/>
      </rPr>
      <t xml:space="preserve">S03_</t>
    </r>
    <r>
      <rPr>
        <b val="true"/>
        <sz val="10"/>
        <color rgb="FF111827"/>
        <rFont val="Noto Sans CJK SC"/>
        <family val="2"/>
      </rPr>
      <t xml:space="preserve">입지</t>
    </r>
  </si>
  <si>
    <r>
      <rPr>
        <sz val="10"/>
        <rFont val="Noto Sans CJK SC"/>
        <family val="2"/>
      </rPr>
      <t xml:space="preserve">역세권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상권</t>
    </r>
  </si>
  <si>
    <r>
      <rPr>
        <b val="true"/>
        <sz val="10"/>
        <color rgb="FF6D4AA8"/>
        <rFont val="Arial"/>
        <family val="0"/>
        <charset val="1"/>
      </rPr>
      <t xml:space="preserve">P01_</t>
    </r>
    <r>
      <rPr>
        <b val="true"/>
        <sz val="10"/>
        <color rgb="FF6D4AA8"/>
        <rFont val="Noto Sans CJK SC"/>
        <family val="2"/>
      </rPr>
      <t xml:space="preserve">필지</t>
    </r>
    <r>
      <rPr>
        <b val="true"/>
        <sz val="10"/>
        <color rgb="FF6D4AA8"/>
        <rFont val="Arial"/>
        <family val="0"/>
        <charset val="1"/>
      </rPr>
      <t xml:space="preserve">_</t>
    </r>
    <r>
      <rPr>
        <b val="true"/>
        <sz val="10"/>
        <color rgb="FF6D4AA8"/>
        <rFont val="Noto Sans CJK SC"/>
        <family val="2"/>
      </rPr>
      <t xml:space="preserve">제척</t>
    </r>
  </si>
  <si>
    <r>
      <rPr>
        <sz val="10"/>
        <rFont val="Noto Sans CJK SC"/>
        <family val="2"/>
      </rPr>
      <t xml:space="preserve">제척 사유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유효 대지면적</t>
    </r>
  </si>
  <si>
    <r>
      <rPr>
        <b val="true"/>
        <sz val="10"/>
        <color rgb="FF6D4AA8"/>
        <rFont val="Arial"/>
        <family val="0"/>
        <charset val="1"/>
      </rPr>
      <t xml:space="preserve">P02_</t>
    </r>
    <r>
      <rPr>
        <b val="true"/>
        <sz val="10"/>
        <color rgb="FF6D4AA8"/>
        <rFont val="Noto Sans CJK SC"/>
        <family val="2"/>
      </rPr>
      <t xml:space="preserve">개발규모</t>
    </r>
  </si>
  <si>
    <r>
      <rPr>
        <sz val="10"/>
        <rFont val="Noto Sans CJK SC"/>
        <family val="2"/>
      </rPr>
      <t xml:space="preserve">용적률 시나리오별 개발 가능 규모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토지비 부담</t>
    </r>
  </si>
  <si>
    <r>
      <rPr>
        <b val="true"/>
        <sz val="10"/>
        <color rgb="FF6D4AA8"/>
        <rFont val="Arial"/>
        <family val="0"/>
        <charset val="1"/>
      </rPr>
      <t xml:space="preserve">P03_</t>
    </r>
    <r>
      <rPr>
        <b val="true"/>
        <sz val="10"/>
        <color rgb="FF6D4AA8"/>
        <rFont val="Noto Sans CJK SC"/>
        <family val="2"/>
      </rPr>
      <t xml:space="preserve">인허가리스크</t>
    </r>
  </si>
  <si>
    <r>
      <rPr>
        <sz val="10"/>
        <rFont val="Noto Sans CJK SC"/>
        <family val="2"/>
      </rPr>
      <t xml:space="preserve">항목별 상태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소요기간</t>
    </r>
  </si>
  <si>
    <r>
      <rPr>
        <b val="true"/>
        <sz val="10"/>
        <color rgb="FF6D4AA8"/>
        <rFont val="Arial"/>
        <family val="0"/>
        <charset val="1"/>
      </rPr>
      <t xml:space="preserve">P04_</t>
    </r>
    <r>
      <rPr>
        <b val="true"/>
        <sz val="10"/>
        <color rgb="FF6D4AA8"/>
        <rFont val="Noto Sans CJK SC"/>
        <family val="2"/>
      </rPr>
      <t xml:space="preserve">취득원가</t>
    </r>
  </si>
  <si>
    <t xml:space="preserve">부대비용</t>
  </si>
  <si>
    <r>
      <rPr>
        <b val="true"/>
        <sz val="10"/>
        <color rgb="FF6D4AA8"/>
        <rFont val="Arial"/>
        <family val="0"/>
        <charset val="1"/>
      </rPr>
      <t xml:space="preserve">P05_</t>
    </r>
    <r>
      <rPr>
        <b val="true"/>
        <sz val="10"/>
        <color rgb="FF6D4AA8"/>
        <rFont val="Noto Sans CJK SC"/>
        <family val="2"/>
      </rPr>
      <t xml:space="preserve">비교사례</t>
    </r>
  </si>
  <si>
    <t xml:space="preserve">인근 실거래</t>
  </si>
  <si>
    <r>
      <rPr>
        <sz val="9"/>
        <color rgb="FF1F3A5F"/>
        <rFont val="Noto Sans CJK SC"/>
        <family val="2"/>
      </rPr>
      <t xml:space="preserve">자산군 </t>
    </r>
    <r>
      <rPr>
        <sz val="9"/>
        <color rgb="FF1F3A5F"/>
        <rFont val="Arial"/>
        <family val="0"/>
        <charset val="1"/>
      </rPr>
      <t xml:space="preserve">= land (</t>
    </r>
    <r>
      <rPr>
        <sz val="9"/>
        <color rgb="FF1F3A5F"/>
        <rFont val="Noto Sans CJK SC"/>
        <family val="2"/>
      </rPr>
      <t xml:space="preserve">대지</t>
    </r>
    <r>
      <rPr>
        <sz val="9"/>
        <color rgb="FF1F3A5F"/>
        <rFont val="Arial"/>
        <family val="0"/>
        <charset val="1"/>
      </rPr>
      <t xml:space="preserve">) — </t>
    </r>
    <r>
      <rPr>
        <sz val="9"/>
        <color rgb="FF1F3A5F"/>
        <rFont val="Noto Sans CJK SC"/>
        <family val="2"/>
      </rPr>
      <t xml:space="preserve">현재 나대지이므로 건물 슬롯군은 전부 </t>
    </r>
    <r>
      <rPr>
        <sz val="9"/>
        <color rgb="FF1F3A5F"/>
        <rFont val="Arial"/>
        <family val="0"/>
        <charset val="1"/>
      </rPr>
      <t xml:space="preserve">not_applicable</t>
    </r>
  </si>
  <si>
    <r>
      <rPr>
        <sz val="9"/>
        <color rgb="FFA33A3D"/>
        <rFont val="Arial"/>
        <family val="0"/>
        <charset val="1"/>
      </rPr>
      <t xml:space="preserve">P_ </t>
    </r>
    <r>
      <rPr>
        <sz val="9"/>
        <color rgb="FFA33A3D"/>
        <rFont val="Noto Sans CJK SC"/>
        <family val="2"/>
      </rPr>
      <t xml:space="preserve">시트는 첨부 </t>
    </r>
    <r>
      <rPr>
        <sz val="9"/>
        <color rgb="FFA33A3D"/>
        <rFont val="Arial"/>
        <family val="0"/>
        <charset val="1"/>
      </rPr>
      <t xml:space="preserve">IM</t>
    </r>
    <r>
      <rPr>
        <sz val="9"/>
        <color rgb="FFA33A3D"/>
        <rFont val="Noto Sans CJK SC"/>
        <family val="2"/>
      </rPr>
      <t xml:space="preserve">에 없는 항목을 테스트용으로 가상 증강한 것입니다</t>
    </r>
  </si>
  <si>
    <t xml:space="preserve">필지 정보</t>
  </si>
  <si>
    <t xml:space="preserve">토지대장</t>
  </si>
  <si>
    <t xml:space="preserve">지번</t>
  </si>
  <si>
    <t xml:space="preserve">지목</t>
  </si>
  <si>
    <r>
      <rPr>
        <b val="true"/>
        <sz val="9"/>
        <color rgb="FFFFFFFF"/>
        <rFont val="Noto Sans CJK SC"/>
        <family val="2"/>
      </rPr>
      <t xml:space="preserve">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㎡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</si>
  <si>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평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</si>
  <si>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용도지역</t>
  </si>
  <si>
    <t xml:space="preserve">소유 형태</t>
  </si>
  <si>
    <r>
      <rPr>
        <sz val="10"/>
        <color rgb="FF0000FF"/>
        <rFont val="Noto Sans CJK SC"/>
        <family val="2"/>
      </rPr>
      <t xml:space="preserve">구리시 수택동 </t>
    </r>
    <r>
      <rPr>
        <sz val="10"/>
        <color rgb="FF0000FF"/>
        <rFont val="Arial"/>
        <family val="0"/>
        <charset val="1"/>
      </rPr>
      <t xml:space="preserve">419-19</t>
    </r>
  </si>
  <si>
    <t xml:space="preserve">대</t>
  </si>
  <si>
    <r>
      <rPr>
        <sz val="10"/>
        <color rgb="FF0000FF"/>
        <rFont val="Noto Sans CJK SC"/>
        <family val="2"/>
      </rPr>
      <t xml:space="preserve">도시지역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상업지역</t>
    </r>
  </si>
  <si>
    <r>
      <rPr>
        <sz val="10"/>
        <color rgb="FF0000FF"/>
        <rFont val="Noto Sans CJK SC"/>
        <family val="2"/>
      </rPr>
      <t xml:space="preserve">구리시 수택동 </t>
    </r>
    <r>
      <rPr>
        <sz val="10"/>
        <color rgb="FF0000FF"/>
        <rFont val="Arial"/>
        <family val="0"/>
        <charset val="1"/>
      </rPr>
      <t xml:space="preserve">419-12</t>
    </r>
  </si>
  <si>
    <r>
      <rPr>
        <sz val="10"/>
        <color rgb="FF0000FF"/>
        <rFont val="Noto Sans CJK SC"/>
        <family val="2"/>
      </rPr>
      <t xml:space="preserve">구리시 수택동 </t>
    </r>
    <r>
      <rPr>
        <sz val="10"/>
        <color rgb="FF0000FF"/>
        <rFont val="Arial"/>
        <family val="0"/>
        <charset val="1"/>
      </rPr>
      <t xml:space="preserve">419-96</t>
    </r>
  </si>
  <si>
    <t xml:space="preserve">합계</t>
  </si>
  <si>
    <r>
      <rPr>
        <sz val="9"/>
        <color rgb="FFA33A3D"/>
        <rFont val="Arial"/>
        <family val="0"/>
        <charset val="1"/>
      </rPr>
      <t xml:space="preserve">※ IM </t>
    </r>
    <r>
      <rPr>
        <sz val="9"/>
        <color rgb="FFA33A3D"/>
        <rFont val="Noto Sans CJK SC"/>
        <family val="2"/>
      </rPr>
      <t xml:space="preserve">원본에 필지별 면적이 분리 기재되어 있지 않습니다</t>
    </r>
    <r>
      <rPr>
        <sz val="9"/>
        <color rgb="FFA33A3D"/>
        <rFont val="Arial"/>
        <family val="0"/>
        <charset val="1"/>
      </rPr>
      <t xml:space="preserve">. </t>
    </r>
    <r>
      <rPr>
        <sz val="9"/>
        <color rgb="FFA33A3D"/>
        <rFont val="Noto Sans CJK SC"/>
        <family val="2"/>
      </rPr>
      <t xml:space="preserve">합계 </t>
    </r>
    <r>
      <rPr>
        <sz val="9"/>
        <color rgb="FFA33A3D"/>
        <rFont val="Arial"/>
        <family val="0"/>
        <charset val="1"/>
      </rPr>
      <t xml:space="preserve">651.2</t>
    </r>
    <r>
      <rPr>
        <sz val="9"/>
        <color rgb="FFA33A3D"/>
        <rFont val="Noto Sans CJK SC"/>
        <family val="2"/>
      </rPr>
      <t xml:space="preserve">㎡만 확인되며</t>
    </r>
    <r>
      <rPr>
        <sz val="9"/>
        <color rgb="FFA33A3D"/>
        <rFont val="Arial"/>
        <family val="0"/>
        <charset val="1"/>
      </rPr>
      <t xml:space="preserve">, </t>
    </r>
    <r>
      <rPr>
        <sz val="9"/>
        <color rgb="FFA33A3D"/>
        <rFont val="Noto Sans CJK SC"/>
        <family val="2"/>
      </rPr>
      <t xml:space="preserve">필지별 배분은 토지대장 확인이 필요합니다</t>
    </r>
    <r>
      <rPr>
        <sz val="9"/>
        <color rgb="FFA33A3D"/>
        <rFont val="Arial"/>
        <family val="0"/>
        <charset val="1"/>
      </rPr>
      <t xml:space="preserve">.</t>
    </r>
  </si>
  <si>
    <t xml:space="preserve">토지이용계획</t>
  </si>
  <si>
    <r>
      <rPr>
        <sz val="9.5"/>
        <color rgb="FF7A8794"/>
        <rFont val="Noto Sans CJK SC"/>
        <family val="2"/>
      </rPr>
      <t xml:space="preserve">토지이용계획확인원 </t>
    </r>
    <r>
      <rPr>
        <sz val="9.5"/>
        <color rgb="FF7A8794"/>
        <rFont val="Arial"/>
        <family val="0"/>
        <charset val="1"/>
      </rPr>
      <t xml:space="preserve">3</t>
    </r>
    <r>
      <rPr>
        <sz val="9.5"/>
        <color rgb="FF7A8794"/>
        <rFont val="Noto Sans CJK SC"/>
        <family val="2"/>
      </rPr>
      <t xml:space="preserve">필지</t>
    </r>
  </si>
  <si>
    <t xml:space="preserve">구분</t>
  </si>
  <si>
    <t xml:space="preserve">내용</t>
  </si>
  <si>
    <t xml:space="preserve">비고</t>
  </si>
  <si>
    <r>
      <rPr>
        <sz val="10"/>
        <color rgb="FF0000FF"/>
        <rFont val="Noto Sans CJK SC"/>
        <family val="2"/>
      </rPr>
      <t xml:space="preserve">도시지역 </t>
    </r>
    <r>
      <rPr>
        <sz val="10"/>
        <color rgb="FF0000FF"/>
        <rFont val="Arial"/>
        <family val="0"/>
        <charset val="1"/>
      </rPr>
      <t xml:space="preserve">· </t>
    </r>
    <r>
      <rPr>
        <sz val="10"/>
        <color rgb="FF0000FF"/>
        <rFont val="Noto Sans CJK SC"/>
        <family val="2"/>
      </rPr>
      <t xml:space="preserve">상업지역</t>
    </r>
  </si>
  <si>
    <t xml:space="preserve">일반상업 추정 — 확인 필요</t>
  </si>
  <si>
    <t xml:space="preserve">건폐율 상한</t>
  </si>
  <si>
    <t xml:space="preserve">조례 확인</t>
  </si>
  <si>
    <t xml:space="preserve">용적률 상한</t>
  </si>
  <si>
    <t xml:space="preserve">허가 목표 용적률</t>
  </si>
  <si>
    <t xml:space="preserve">1,260%</t>
  </si>
  <si>
    <r>
      <rPr>
        <sz val="10"/>
        <rFont val="Arial"/>
        <family val="0"/>
        <charset val="1"/>
      </rPr>
      <t xml:space="preserve">IM </t>
    </r>
    <r>
      <rPr>
        <sz val="10"/>
        <rFont val="Noto Sans CJK SC"/>
        <family val="2"/>
      </rPr>
      <t xml:space="preserve">기재 — 지구단위계획 등 별도 절차 추정</t>
    </r>
  </si>
  <si>
    <t xml:space="preserve">도로</t>
  </si>
  <si>
    <r>
      <rPr>
        <sz val="10"/>
        <color rgb="FF0000FF"/>
        <rFont val="Arial"/>
        <family val="0"/>
        <charset val="1"/>
      </rPr>
      <t xml:space="preserve">12m × 6m × 4m 3</t>
    </r>
    <r>
      <rPr>
        <sz val="10"/>
        <color rgb="FF0000FF"/>
        <rFont val="Noto Sans CJK SC"/>
        <family val="2"/>
      </rPr>
      <t xml:space="preserve">면 접</t>
    </r>
  </si>
  <si>
    <t xml:space="preserve">삼면 접도</t>
  </si>
  <si>
    <t xml:space="preserve">현황</t>
  </si>
  <si>
    <t xml:space="preserve">나대지</t>
  </si>
  <si>
    <t xml:space="preserve">건물 없음</t>
  </si>
  <si>
    <t xml:space="preserve">입지</t>
  </si>
  <si>
    <t xml:space="preserve">역세권</t>
  </si>
  <si>
    <r>
      <rPr>
        <sz val="10"/>
        <color rgb="FF0000FF"/>
        <rFont val="Noto Sans CJK SC"/>
        <family val="2"/>
      </rPr>
      <t xml:space="preserve">구리역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경의중앙선 </t>
    </r>
    <r>
      <rPr>
        <sz val="10"/>
        <color rgb="FF0000FF"/>
        <rFont val="Arial"/>
        <family val="0"/>
        <charset val="1"/>
      </rPr>
      <t xml:space="preserve">· 8</t>
    </r>
    <r>
      <rPr>
        <sz val="10"/>
        <color rgb="FF0000FF"/>
        <rFont val="Noto Sans CJK SC"/>
        <family val="2"/>
      </rPr>
      <t xml:space="preserve">호선 별내선</t>
    </r>
    <r>
      <rPr>
        <sz val="10"/>
        <color rgb="FF0000FF"/>
        <rFont val="Arial"/>
        <family val="0"/>
        <charset val="1"/>
      </rPr>
      <t xml:space="preserve">) 380m · </t>
    </r>
    <r>
      <rPr>
        <sz val="10"/>
        <color rgb="FF0000FF"/>
        <rFont val="Noto Sans CJK SC"/>
        <family val="2"/>
      </rPr>
      <t xml:space="preserve">도보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분</t>
    </r>
  </si>
  <si>
    <t xml:space="preserve">상권</t>
  </si>
  <si>
    <t xml:space="preserve">구리전통시장 안골로 — 생활형 소비 중심 지역상권</t>
  </si>
  <si>
    <t xml:space="preserve">개발 제안</t>
  </si>
  <si>
    <r>
      <rPr>
        <sz val="10"/>
        <color rgb="FF0000FF"/>
        <rFont val="Noto Sans CJK SC"/>
        <family val="2"/>
      </rPr>
      <t xml:space="preserve">저층 상가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중층 오피스텔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상층 업무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주거 복합</t>
    </r>
  </si>
  <si>
    <t xml:space="preserve">추천 용도</t>
  </si>
  <si>
    <t xml:space="preserve">오피스텔 부지</t>
  </si>
  <si>
    <r>
      <rPr>
        <b val="true"/>
        <sz val="14"/>
        <color rgb="FF1F3A5F"/>
        <rFont val="Noto Sans CJK SC"/>
        <family val="2"/>
      </rPr>
      <t xml:space="preserve">필지 </t>
    </r>
    <r>
      <rPr>
        <b val="true"/>
        <sz val="14"/>
        <color rgb="FF1F3A5F"/>
        <rFont val="Arial"/>
        <family val="0"/>
        <charset val="1"/>
      </rPr>
      <t xml:space="preserve">· </t>
    </r>
    <r>
      <rPr>
        <b val="true"/>
        <sz val="14"/>
        <color rgb="FF1F3A5F"/>
        <rFont val="Noto Sans CJK SC"/>
        <family val="2"/>
      </rPr>
      <t xml:space="preserve">제척 </t>
    </r>
    <r>
      <rPr>
        <b val="true"/>
        <sz val="14"/>
        <color rgb="FF1F3A5F"/>
        <rFont val="Arial"/>
        <family val="0"/>
        <charset val="1"/>
      </rPr>
      <t xml:space="preserve">(</t>
    </r>
    <r>
      <rPr>
        <b val="true"/>
        <sz val="14"/>
        <color rgb="FF1F3A5F"/>
        <rFont val="Noto Sans CJK SC"/>
        <family val="2"/>
      </rPr>
      <t xml:space="preserve">정밀</t>
    </r>
    <r>
      <rPr>
        <b val="true"/>
        <sz val="14"/>
        <color rgb="FF1F3A5F"/>
        <rFont val="Arial"/>
        <family val="0"/>
        <charset val="1"/>
      </rPr>
      <t xml:space="preserve">)</t>
    </r>
  </si>
  <si>
    <r>
      <rPr>
        <sz val="9.5"/>
        <color rgb="FF7A8794"/>
        <rFont val="Arial"/>
        <family val="0"/>
        <charset val="1"/>
      </rPr>
      <t xml:space="preserve">[</t>
    </r>
    <r>
      <rPr>
        <sz val="9.5"/>
        <color rgb="FF7A8794"/>
        <rFont val="Noto Sans CJK SC"/>
        <family val="2"/>
      </rPr>
      <t xml:space="preserve">가상 증강 </t>
    </r>
    <r>
      <rPr>
        <sz val="9.5"/>
        <color rgb="FF7A8794"/>
        <rFont val="Arial"/>
        <family val="0"/>
        <charset val="1"/>
      </rPr>
      <t xml:space="preserve">· </t>
    </r>
    <r>
      <rPr>
        <sz val="9.5"/>
        <color rgb="FF7A8794"/>
        <rFont val="Noto Sans CJK SC"/>
        <family val="2"/>
      </rPr>
      <t xml:space="preserve">테스트용</t>
    </r>
    <r>
      <rPr>
        <sz val="9.5"/>
        <color rgb="FF7A8794"/>
        <rFont val="Arial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</si>
  <si>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대장 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㎡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</si>
  <si>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제척 사유</t>
  </si>
  <si>
    <r>
      <rPr>
        <b val="true"/>
        <sz val="9"/>
        <color rgb="FFFFFFFF"/>
        <rFont val="Noto Sans CJK SC"/>
        <family val="2"/>
      </rPr>
      <t xml:space="preserve">제척 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㎡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</si>
  <si>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용적률 산정 제외</t>
  </si>
  <si>
    <r>
      <rPr>
        <b val="true"/>
        <sz val="9"/>
        <color rgb="FFFFFFFF"/>
        <rFont val="Noto Sans CJK SC"/>
        <family val="2"/>
      </rPr>
      <t xml:space="preserve">유효 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㎡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</si>
  <si>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해당 없음</t>
  </si>
  <si>
    <t xml:space="preserve">—</t>
  </si>
  <si>
    <t xml:space="preserve">도시계획도로 저촉</t>
  </si>
  <si>
    <t xml:space="preserve">예</t>
  </si>
  <si>
    <r>
      <rPr>
        <sz val="9"/>
        <color rgb="FFA33A3D"/>
        <rFont val="Noto Sans CJK SC"/>
        <family val="2"/>
      </rPr>
      <t xml:space="preserve">※ 필지별 면적 배분과 제척은 전부 가상 증강입니다</t>
    </r>
    <r>
      <rPr>
        <sz val="9"/>
        <color rgb="FFA33A3D"/>
        <rFont val="Arial"/>
        <family val="0"/>
        <charset val="1"/>
      </rPr>
      <t xml:space="preserve">. </t>
    </r>
    <r>
      <rPr>
        <sz val="9"/>
        <color rgb="FFA33A3D"/>
        <rFont val="Noto Sans CJK SC"/>
        <family val="2"/>
      </rPr>
      <t xml:space="preserve">합계 </t>
    </r>
    <r>
      <rPr>
        <sz val="9"/>
        <color rgb="FFA33A3D"/>
        <rFont val="Arial"/>
        <family val="0"/>
        <charset val="1"/>
      </rPr>
      <t xml:space="preserve">651.2</t>
    </r>
    <r>
      <rPr>
        <sz val="9"/>
        <color rgb="FFA33A3D"/>
        <rFont val="Noto Sans CJK SC"/>
        <family val="2"/>
      </rPr>
      <t xml:space="preserve">㎡만 </t>
    </r>
    <r>
      <rPr>
        <sz val="9"/>
        <color rgb="FFA33A3D"/>
        <rFont val="Arial"/>
        <family val="0"/>
        <charset val="1"/>
      </rPr>
      <t xml:space="preserve">IM </t>
    </r>
    <r>
      <rPr>
        <sz val="9"/>
        <color rgb="FFA33A3D"/>
        <rFont val="Noto Sans CJK SC"/>
        <family val="2"/>
      </rPr>
      <t xml:space="preserve">기재값입니다</t>
    </r>
    <r>
      <rPr>
        <sz val="9"/>
        <color rgb="FFA33A3D"/>
        <rFont val="Arial"/>
        <family val="0"/>
        <charset val="1"/>
      </rPr>
      <t xml:space="preserve">.</t>
    </r>
  </si>
  <si>
    <r>
      <rPr>
        <sz val="9"/>
        <color rgb="FF8E6A20"/>
        <rFont val="Arial"/>
        <family val="0"/>
        <charset val="1"/>
      </rPr>
      <t xml:space="preserve">※ 419-12</t>
    </r>
    <r>
      <rPr>
        <sz val="9"/>
        <color rgb="FF8E6A20"/>
        <rFont val="Noto Sans CJK SC"/>
        <family val="2"/>
      </rPr>
      <t xml:space="preserve">에 도시계획도로 저촉 </t>
    </r>
    <r>
      <rPr>
        <sz val="9"/>
        <color rgb="FF8E6A20"/>
        <rFont val="Arial"/>
        <family val="0"/>
        <charset val="1"/>
      </rPr>
      <t xml:space="preserve">9.8</t>
    </r>
    <r>
      <rPr>
        <sz val="9"/>
        <color rgb="FF8E6A20"/>
        <rFont val="Noto Sans CJK SC"/>
        <family val="2"/>
      </rPr>
      <t xml:space="preserve">㎡를 가정하면 유효 대지 </t>
    </r>
    <r>
      <rPr>
        <sz val="9"/>
        <color rgb="FF8E6A20"/>
        <rFont val="Arial"/>
        <family val="0"/>
        <charset val="1"/>
      </rPr>
      <t xml:space="preserve">641.4</t>
    </r>
    <r>
      <rPr>
        <sz val="9"/>
        <color rgb="FF8E6A20"/>
        <rFont val="Noto Sans CJK SC"/>
        <family val="2"/>
      </rPr>
      <t xml:space="preserve">㎡ — 개발 가능 연면적이 </t>
    </r>
    <r>
      <rPr>
        <sz val="9"/>
        <color rgb="FF8E6A20"/>
        <rFont val="Arial"/>
        <family val="0"/>
        <charset val="1"/>
      </rPr>
      <t xml:space="preserve">1.5% </t>
    </r>
    <r>
      <rPr>
        <sz val="9"/>
        <color rgb="FF8E6A20"/>
        <rFont val="Noto Sans CJK SC"/>
        <family val="2"/>
      </rPr>
      <t xml:space="preserve">줄어듭니다</t>
    </r>
    <r>
      <rPr>
        <sz val="9"/>
        <color rgb="FF8E6A20"/>
        <rFont val="Arial"/>
        <family val="0"/>
        <charset val="1"/>
      </rPr>
      <t xml:space="preserve">.</t>
    </r>
  </si>
  <si>
    <t xml:space="preserve">개발 가능 규모 시나리오</t>
  </si>
  <si>
    <t xml:space="preserve">유효 대지면적 기준</t>
  </si>
  <si>
    <t xml:space="preserve">시나리오</t>
  </si>
  <si>
    <t xml:space="preserve">용적률</t>
  </si>
  <si>
    <r>
      <rPr>
        <b val="true"/>
        <sz val="9"/>
        <color rgb="FFFFFFFF"/>
        <rFont val="Noto Sans CJK SC"/>
        <family val="2"/>
      </rPr>
      <t xml:space="preserve">개발 가능 연면적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㎡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</si>
  <si>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연면적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평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</si>
  <si>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토지비 부담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원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연면적평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</si>
  <si>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상업 </t>
    </r>
    <r>
      <rPr>
        <sz val="10"/>
        <color rgb="FF0000FF"/>
        <rFont val="Arial"/>
        <family val="0"/>
        <charset val="1"/>
      </rPr>
      <t xml:space="preserve">800%</t>
    </r>
  </si>
  <si>
    <t xml:space="preserve">기본</t>
  </si>
  <si>
    <r>
      <rPr>
        <sz val="10"/>
        <color rgb="FF0000FF"/>
        <rFont val="Noto Sans CJK SC"/>
        <family val="2"/>
      </rPr>
      <t xml:space="preserve">상업 </t>
    </r>
    <r>
      <rPr>
        <sz val="10"/>
        <color rgb="FF0000FF"/>
        <rFont val="Arial"/>
        <family val="0"/>
        <charset val="1"/>
      </rPr>
      <t xml:space="preserve">1000%</t>
    </r>
  </si>
  <si>
    <t xml:space="preserve">중간</t>
  </si>
  <si>
    <r>
      <rPr>
        <sz val="10"/>
        <color rgb="FF0000FF"/>
        <rFont val="Noto Sans CJK SC"/>
        <family val="2"/>
      </rPr>
      <t xml:space="preserve">허가 목표 </t>
    </r>
    <r>
      <rPr>
        <sz val="10"/>
        <color rgb="FF0000FF"/>
        <rFont val="Arial"/>
        <family val="0"/>
        <charset val="1"/>
      </rPr>
      <t xml:space="preserve">1260%</t>
    </r>
  </si>
  <si>
    <r>
      <rPr>
        <sz val="10"/>
        <rFont val="Arial"/>
        <family val="0"/>
        <charset val="1"/>
      </rPr>
      <t xml:space="preserve">IM </t>
    </r>
    <r>
      <rPr>
        <sz val="10"/>
        <rFont val="Noto Sans CJK SC"/>
        <family val="2"/>
      </rPr>
      <t xml:space="preserve">기재</t>
    </r>
  </si>
  <si>
    <r>
      <rPr>
        <sz val="10"/>
        <color rgb="FF0000FF"/>
        <rFont val="Noto Sans CJK SC"/>
        <family val="2"/>
      </rPr>
      <t xml:space="preserve">상업 </t>
    </r>
    <r>
      <rPr>
        <sz val="10"/>
        <color rgb="FF0000FF"/>
        <rFont val="Arial"/>
        <family val="0"/>
        <charset val="1"/>
      </rPr>
      <t xml:space="preserve">1500%</t>
    </r>
  </si>
  <si>
    <t xml:space="preserve">낙관</t>
  </si>
  <si>
    <t xml:space="preserve">기준값</t>
  </si>
  <si>
    <r>
      <rPr>
        <sz val="10"/>
        <rFont val="Noto Sans CJK SC"/>
        <family val="2"/>
      </rPr>
      <t xml:space="preserve">유효 대지면적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㎡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</si>
  <si>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매매가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</si>
  <si>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토지 평단가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Arial"/>
        <family val="0"/>
        <charset val="1"/>
      </rPr>
      <t xml:space="preserve">)</t>
    </r>
  </si>
  <si>
    <r>
      <rPr>
        <sz val="9"/>
        <color rgb="FF8E6A20"/>
        <rFont val="Noto Sans CJK SC"/>
        <family val="2"/>
      </rPr>
      <t xml:space="preserve">※ 대지형의 진짜 비교 지표는 평단가가 아니라 토지비 부담</t>
    </r>
    <r>
      <rPr>
        <sz val="9"/>
        <color rgb="FF8E6A20"/>
        <rFont val="Arial"/>
        <family val="0"/>
        <charset val="1"/>
      </rPr>
      <t xml:space="preserve">(</t>
    </r>
    <r>
      <rPr>
        <sz val="9"/>
        <color rgb="FF8E6A20"/>
        <rFont val="Noto Sans CJK SC"/>
        <family val="2"/>
      </rPr>
      <t xml:space="preserve">원</t>
    </r>
    <r>
      <rPr>
        <sz val="9"/>
        <color rgb="FF8E6A20"/>
        <rFont val="Arial"/>
        <family val="0"/>
        <charset val="1"/>
      </rPr>
      <t xml:space="preserve">/</t>
    </r>
    <r>
      <rPr>
        <sz val="9"/>
        <color rgb="FF8E6A20"/>
        <rFont val="Noto Sans CJK SC"/>
        <family val="2"/>
      </rPr>
      <t xml:space="preserve">연면적평</t>
    </r>
    <r>
      <rPr>
        <sz val="9"/>
        <color rgb="FF8E6A20"/>
        <rFont val="Arial"/>
        <family val="0"/>
        <charset val="1"/>
      </rPr>
      <t xml:space="preserve">)</t>
    </r>
    <r>
      <rPr>
        <sz val="9"/>
        <color rgb="FF8E6A20"/>
        <rFont val="Noto Sans CJK SC"/>
        <family val="2"/>
      </rPr>
      <t xml:space="preserve">입니다</t>
    </r>
    <r>
      <rPr>
        <sz val="9"/>
        <color rgb="FF8E6A20"/>
        <rFont val="Arial"/>
        <family val="0"/>
        <charset val="1"/>
      </rPr>
      <t xml:space="preserve">. </t>
    </r>
    <r>
      <rPr>
        <sz val="9"/>
        <color rgb="FF8E6A20"/>
        <rFont val="Noto Sans CJK SC"/>
        <family val="2"/>
      </rPr>
      <t xml:space="preserve">용도지역이 다른 물건은 평단가로 비교할 수 없습니다</t>
    </r>
    <r>
      <rPr>
        <sz val="9"/>
        <color rgb="FF8E6A20"/>
        <rFont val="Arial"/>
        <family val="0"/>
        <charset val="1"/>
      </rPr>
      <t xml:space="preserve">.</t>
    </r>
  </si>
  <si>
    <t xml:space="preserve">인허가 리스크</t>
  </si>
  <si>
    <t xml:space="preserve">항목</t>
  </si>
  <si>
    <t xml:space="preserve">상태</t>
  </si>
  <si>
    <r>
      <rPr>
        <b val="true"/>
        <sz val="9"/>
        <color rgb="FFFFFFFF"/>
        <rFont val="Noto Sans CJK SC"/>
        <family val="2"/>
      </rPr>
      <t xml:space="preserve">소요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개월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</si>
  <si>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지구단위계획 수립</t>
  </si>
  <si>
    <t xml:space="preserve">constraint</t>
  </si>
  <si>
    <r>
      <rPr>
        <sz val="10"/>
        <color rgb="FF0000FF"/>
        <rFont val="Noto Sans CJK SC"/>
        <family val="2"/>
      </rPr>
      <t xml:space="preserve">용적률 </t>
    </r>
    <r>
      <rPr>
        <sz val="10"/>
        <color rgb="FF0000FF"/>
        <rFont val="Arial"/>
        <family val="0"/>
        <charset val="1"/>
      </rPr>
      <t xml:space="preserve">1,260% </t>
    </r>
    <r>
      <rPr>
        <sz val="10"/>
        <color rgb="FF0000FF"/>
        <rFont val="Noto Sans CJK SC"/>
        <family val="2"/>
      </rPr>
      <t xml:space="preserve">확보를 위한 필수 절차 — 최대 변수</t>
    </r>
  </si>
  <si>
    <t xml:space="preserve">교통영향평가</t>
  </si>
  <si>
    <t xml:space="preserve">check_required</t>
  </si>
  <si>
    <r>
      <rPr>
        <sz val="10"/>
        <color rgb="FF0000FF"/>
        <rFont val="Noto Sans CJK SC"/>
        <family val="2"/>
      </rPr>
      <t xml:space="preserve">연면적 </t>
    </r>
    <r>
      <rPr>
        <sz val="10"/>
        <color rgb="FF0000FF"/>
        <rFont val="Arial"/>
        <family val="0"/>
        <charset val="1"/>
      </rPr>
      <t xml:space="preserve">2,500</t>
    </r>
    <r>
      <rPr>
        <sz val="10"/>
        <color rgb="FF0000FF"/>
        <rFont val="Noto Sans CJK SC"/>
        <family val="2"/>
      </rPr>
      <t xml:space="preserve">평 규모 시 대상</t>
    </r>
  </si>
  <si>
    <t xml:space="preserve">개발행위허가</t>
  </si>
  <si>
    <t xml:space="preserve">clear</t>
  </si>
  <si>
    <r>
      <rPr>
        <sz val="10"/>
        <color rgb="FF0000FF"/>
        <rFont val="Noto Sans CJK SC"/>
        <family val="2"/>
      </rPr>
      <t xml:space="preserve">상업지역 </t>
    </r>
    <r>
      <rPr>
        <sz val="10"/>
        <color rgb="FF0000FF"/>
        <rFont val="Arial"/>
        <family val="0"/>
        <charset val="1"/>
      </rPr>
      <t xml:space="preserve">· </t>
    </r>
    <r>
      <rPr>
        <sz val="10"/>
        <color rgb="FF0000FF"/>
        <rFont val="Noto Sans CJK SC"/>
        <family val="2"/>
      </rPr>
      <t xml:space="preserve">나대지</t>
    </r>
  </si>
  <si>
    <t xml:space="preserve">기부채납</t>
  </si>
  <si>
    <t xml:space="preserve">지구단위계획 조건에 따라 발생 가능</t>
  </si>
  <si>
    <t xml:space="preserve">문화재 지표조사</t>
  </si>
  <si>
    <t xml:space="preserve">해당 없음 추정</t>
  </si>
  <si>
    <t xml:space="preserve">기반시설 인입</t>
  </si>
  <si>
    <r>
      <rPr>
        <sz val="10"/>
        <color rgb="FF0000FF"/>
        <rFont val="Noto Sans CJK SC"/>
        <family val="2"/>
      </rPr>
      <t xml:space="preserve">상하수도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전기 기존 인입 확인</t>
    </r>
  </si>
  <si>
    <r>
      <rPr>
        <b val="true"/>
        <sz val="10"/>
        <rFont val="Noto Sans CJK SC"/>
        <family val="2"/>
      </rPr>
      <t xml:space="preserve">합계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병행 가정</t>
    </r>
    <r>
      <rPr>
        <b val="true"/>
        <sz val="10"/>
        <rFont val="Arial"/>
        <family val="0"/>
        <charset val="1"/>
      </rPr>
      <t xml:space="preserve">)</t>
    </r>
  </si>
  <si>
    <t xml:space="preserve">지구단위계획이 임계 경로</t>
  </si>
  <si>
    <r>
      <rPr>
        <sz val="9"/>
        <color rgb="FFA33A3D"/>
        <rFont val="Noto Sans CJK SC"/>
        <family val="2"/>
      </rPr>
      <t xml:space="preserve">★ 용적률 </t>
    </r>
    <r>
      <rPr>
        <sz val="9"/>
        <color rgb="FFA33A3D"/>
        <rFont val="Arial"/>
        <family val="0"/>
        <charset val="1"/>
      </rPr>
      <t xml:space="preserve">1,260%</t>
    </r>
    <r>
      <rPr>
        <sz val="9"/>
        <color rgb="FFA33A3D"/>
        <rFont val="Noto Sans CJK SC"/>
        <family val="2"/>
      </rPr>
      <t xml:space="preserve">는 지구단위계획 수립을 전제합니다</t>
    </r>
    <r>
      <rPr>
        <sz val="9"/>
        <color rgb="FFA33A3D"/>
        <rFont val="Arial"/>
        <family val="0"/>
        <charset val="1"/>
      </rPr>
      <t xml:space="preserve">. </t>
    </r>
    <r>
      <rPr>
        <sz val="9"/>
        <color rgb="FFA33A3D"/>
        <rFont val="Noto Sans CJK SC"/>
        <family val="2"/>
      </rPr>
      <t xml:space="preserve">확정 전 사업 규모를 확정 수치로 제시하면 안 됩니다</t>
    </r>
    <r>
      <rPr>
        <sz val="9"/>
        <color rgb="FFA33A3D"/>
        <rFont val="Arial"/>
        <family val="0"/>
        <charset val="1"/>
      </rPr>
      <t xml:space="preserve">.</t>
    </r>
  </si>
  <si>
    <t xml:space="preserve">취득 부대비용</t>
  </si>
  <si>
    <r>
      <rPr>
        <sz val="9.5"/>
        <color rgb="FF7A8794"/>
        <rFont val="Arial"/>
        <family val="0"/>
        <charset val="1"/>
      </rPr>
      <t xml:space="preserve">[</t>
    </r>
    <r>
      <rPr>
        <sz val="9.5"/>
        <color rgb="FF7A8794"/>
        <rFont val="Noto Sans CJK SC"/>
        <family val="2"/>
      </rPr>
      <t xml:space="preserve">가상 증강 </t>
    </r>
    <r>
      <rPr>
        <sz val="9.5"/>
        <color rgb="FF7A8794"/>
        <rFont val="Arial"/>
        <family val="0"/>
        <charset val="1"/>
      </rPr>
      <t xml:space="preserve">· </t>
    </r>
    <r>
      <rPr>
        <sz val="9.5"/>
        <color rgb="FF7A8794"/>
        <rFont val="Noto Sans CJK SC"/>
        <family val="2"/>
      </rPr>
      <t xml:space="preserve">표준 요율</t>
    </r>
    <r>
      <rPr>
        <sz val="9.5"/>
        <color rgb="FF7A8794"/>
        <rFont val="Arial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</si>
  <si>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금액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원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</si>
  <si>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산정 근거</t>
  </si>
  <si>
    <t xml:space="preserve">매매가</t>
  </si>
  <si>
    <r>
      <rPr>
        <sz val="10"/>
        <rFont val="Noto Sans CJK SC"/>
        <family val="2"/>
      </rPr>
      <t xml:space="preserve">취득세 </t>
    </r>
    <r>
      <rPr>
        <sz val="10"/>
        <rFont val="Arial"/>
        <family val="0"/>
        <charset val="1"/>
      </rPr>
      <t xml:space="preserve">(4.6%)</t>
    </r>
  </si>
  <si>
    <t xml:space="preserve">나대지 표준세율</t>
  </si>
  <si>
    <r>
      <rPr>
        <sz val="10"/>
        <rFont val="Noto Sans CJK SC"/>
        <family val="2"/>
      </rPr>
      <t xml:space="preserve">중개보수 </t>
    </r>
    <r>
      <rPr>
        <sz val="10"/>
        <rFont val="Arial"/>
        <family val="0"/>
        <charset val="1"/>
      </rPr>
      <t xml:space="preserve">(0.9% </t>
    </r>
    <r>
      <rPr>
        <sz val="10"/>
        <rFont val="Noto Sans CJK SC"/>
        <family val="2"/>
      </rPr>
      <t xml:space="preserve">이내</t>
    </r>
    <r>
      <rPr>
        <sz val="10"/>
        <rFont val="Arial"/>
        <family val="0"/>
        <charset val="1"/>
      </rPr>
      <t xml:space="preserve">)</t>
    </r>
  </si>
  <si>
    <t xml:space="preserve">법정 상한 내 협의</t>
  </si>
  <si>
    <r>
      <rPr>
        <sz val="10"/>
        <rFont val="Noto Sans CJK SC"/>
        <family val="2"/>
      </rPr>
      <t xml:space="preserve">등록면허세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법무비</t>
    </r>
  </si>
  <si>
    <t xml:space="preserve">추정</t>
  </si>
  <si>
    <r>
      <rPr>
        <sz val="10"/>
        <rFont val="Noto Sans CJK SC"/>
        <family val="2"/>
      </rPr>
      <t xml:space="preserve">감정평가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실사</t>
    </r>
  </si>
  <si>
    <t xml:space="preserve">총취득원가</t>
  </si>
  <si>
    <t xml:space="preserve">인근 비교사례</t>
  </si>
  <si>
    <t xml:space="preserve">주소</t>
  </si>
  <si>
    <t xml:space="preserve">시점</t>
  </si>
  <si>
    <r>
      <rPr>
        <b val="true"/>
        <sz val="9"/>
        <color rgb="FFFFFFFF"/>
        <rFont val="Noto Sans CJK SC"/>
        <family val="2"/>
      </rPr>
      <t xml:space="preserve">토지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평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</si>
  <si>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평당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원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</si>
  <si>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구리시 수택동 </t>
    </r>
    <r>
      <rPr>
        <sz val="10"/>
        <color rgb="FF0000FF"/>
        <rFont val="Arial"/>
        <family val="0"/>
        <charset val="1"/>
      </rPr>
      <t xml:space="preserve">4xx-x</t>
    </r>
  </si>
  <si>
    <t xml:space="preserve">2025-11</t>
  </si>
  <si>
    <t xml:space="preserve">상업</t>
  </si>
  <si>
    <r>
      <rPr>
        <sz val="10"/>
        <color rgb="FF0000FF"/>
        <rFont val="Noto Sans CJK SC"/>
        <family val="2"/>
      </rPr>
      <t xml:space="preserve">구리시 인창동 </t>
    </r>
    <r>
      <rPr>
        <sz val="10"/>
        <color rgb="FF0000FF"/>
        <rFont val="Arial"/>
        <family val="0"/>
        <charset val="1"/>
      </rPr>
      <t xml:space="preserve">xx-x</t>
    </r>
  </si>
  <si>
    <t xml:space="preserve">2026-01</t>
  </si>
  <si>
    <t xml:space="preserve">구축 철거 전제</t>
  </si>
  <si>
    <r>
      <rPr>
        <sz val="10"/>
        <color rgb="FF0000FF"/>
        <rFont val="Noto Sans CJK SC"/>
        <family val="2"/>
      </rPr>
      <t xml:space="preserve">구리시 수택동 </t>
    </r>
    <r>
      <rPr>
        <sz val="10"/>
        <color rgb="FF0000FF"/>
        <rFont val="Arial"/>
        <family val="0"/>
        <charset val="1"/>
      </rPr>
      <t xml:space="preserve">4xx-xx</t>
    </r>
  </si>
  <si>
    <t xml:space="preserve">2025-08</t>
  </si>
  <si>
    <r>
      <rPr>
        <sz val="10"/>
        <color rgb="FF0000FF"/>
        <rFont val="Noto Sans CJK SC"/>
        <family val="2"/>
      </rPr>
      <t xml:space="preserve">도로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면</t>
    </r>
  </si>
  <si>
    <t xml:space="preserve">본 물건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</si>
  <si>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면 접도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</si>
</sst>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#,##0.00"/>
    <numFmt numFmtId="167" formatCode="0%"/>
    <numFmt numFmtId="168" formatCode="#,##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Noto Sans CJK SC"/>
      <family val="2"/>
    </font>
    <font>
      <sz val="9.5"/>
      <color rgb="FF7A8794"/>
      <name val="Arial"/>
      <family val="0"/>
      <charset val="1"/>
    </font>
    <font>
      <sz val="9.5"/>
      <color rgb="FF7A8794"/>
      <name val="Noto Sans CJK SC"/>
      <family val="2"/>
    </font>
    <font>
      <b val="true"/>
      <sz val="11"/>
      <name val="Noto Sans CJK SC"/>
      <family val="2"/>
    </font>
    <font>
      <sz val="10"/>
      <color rgb="FF0000FF"/>
      <name val="Noto Sans CJK SC"/>
      <family val="2"/>
    </font>
    <font>
      <sz val="10"/>
      <color rgb="FF0000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sz val="10"/>
      <color rgb="FF6D4AA8"/>
      <name val="Noto Sans CJK SC"/>
      <family val="2"/>
    </font>
    <font>
      <sz val="10"/>
      <color rgb="FF6D4AA8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b val="true"/>
      <sz val="10"/>
      <color rgb="FF111827"/>
      <name val="Noto Sans CJK SC"/>
      <family val="2"/>
    </font>
    <font>
      <b val="true"/>
      <sz val="10"/>
      <color rgb="FF6D4AA8"/>
      <name val="Arial"/>
      <family val="0"/>
      <charset val="1"/>
    </font>
    <font>
      <b val="true"/>
      <sz val="10"/>
      <color rgb="FF6D4AA8"/>
      <name val="Noto Sans CJK SC"/>
      <family val="2"/>
    </font>
    <font>
      <sz val="9"/>
      <color rgb="FF1F3A5F"/>
      <name val="Noto Sans CJK SC"/>
      <family val="2"/>
    </font>
    <font>
      <sz val="9"/>
      <color rgb="FF1F3A5F"/>
      <name val="Arial"/>
      <family val="0"/>
      <charset val="1"/>
    </font>
    <font>
      <sz val="9"/>
      <color rgb="FFA33A3D"/>
      <name val="Arial"/>
      <family val="0"/>
      <charset val="1"/>
    </font>
    <font>
      <sz val="9"/>
      <color rgb="FFA33A3D"/>
      <name val="Noto Sans CJK SC"/>
      <family val="2"/>
    </font>
    <font>
      <b val="true"/>
      <sz val="9"/>
      <color rgb="FFFFFFFF"/>
      <name val="Noto Sans CJK SC"/>
      <family val="2"/>
    </font>
    <font>
      <b val="true"/>
      <sz val="9"/>
      <color rgb="FFFFFFFF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sz val="9"/>
      <color rgb="FF8E6A20"/>
      <name val="Arial"/>
      <family val="0"/>
      <charset val="1"/>
    </font>
    <font>
      <sz val="9"/>
      <color rgb="FF8E6A20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  <fill>
      <patternFill patternType="solid">
        <fgColor rgb="FFF5F7F9"/>
        <bgColor rgb="FFFBF6EC"/>
      </patternFill>
    </fill>
    <fill>
      <patternFill patternType="solid">
        <fgColor rgb="FFFBF6EC"/>
        <bgColor rgb="FFF5F7F9"/>
      </patternFill>
    </fill>
    <fill>
      <patternFill patternType="solid">
        <fgColor rgb="FF6D4AA8"/>
        <bgColor rgb="FF333399"/>
      </patternFill>
    </fill>
    <fill>
      <patternFill patternType="solid">
        <fgColor rgb="FFF6E9E9"/>
        <bgColor rgb="FFF7EFDC"/>
      </patternFill>
    </fill>
    <fill>
      <patternFill patternType="solid">
        <fgColor rgb="FFF7EFDC"/>
        <bgColor rgb="FFF6E9E9"/>
      </patternFill>
    </fill>
    <fill>
      <patternFill patternType="solid">
        <fgColor rgb="FFE7F0EA"/>
        <bgColor rgb="FFF6E9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FE5"/>
      </left>
      <right style="thin">
        <color rgb="FFD9DFE5"/>
      </right>
      <top style="thin">
        <color rgb="FFD9DFE5"/>
      </top>
      <bottom style="thin">
        <color rgb="FFD9DF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E6A20"/>
      <rgbColor rgb="FF800080"/>
      <rgbColor rgb="FF008080"/>
      <rgbColor rgb="FFC0C0C0"/>
      <rgbColor rgb="FF7A8794"/>
      <rgbColor rgb="FF9999FF"/>
      <rgbColor rgb="FFA33A3D"/>
      <rgbColor rgb="FFFBF6EC"/>
      <rgbColor rgb="FFE7F0EA"/>
      <rgbColor rgb="FF660066"/>
      <rgbColor rgb="FFFF8080"/>
      <rgbColor rgb="FF0066CC"/>
      <rgbColor rgb="FFD9DF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9"/>
      <rgbColor rgb="FFF6E9E9"/>
      <rgbColor rgb="FFF7EFD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D4AA8"/>
      <rgbColor rgb="FF969696"/>
      <rgbColor rgb="FF1F3A5F"/>
      <rgbColor rgb="FF339966"/>
      <rgbColor rgb="FF11182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6" t="s">
        <v>5</v>
      </c>
    </row>
    <row r="8" customFormat="false" ht="15" hidden="false" customHeight="false" outlineLevel="0" collapsed="false">
      <c r="A8" s="7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8" t="s">
        <v>8</v>
      </c>
      <c r="B11" s="9" t="s">
        <v>9</v>
      </c>
    </row>
    <row r="12" customFormat="false" ht="15" hidden="false" customHeight="false" outlineLevel="0" collapsed="false">
      <c r="A12" s="8" t="s">
        <v>10</v>
      </c>
      <c r="B12" s="5" t="s">
        <v>11</v>
      </c>
    </row>
    <row r="13" customFormat="false" ht="15" hidden="false" customHeight="false" outlineLevel="0" collapsed="false">
      <c r="A13" s="8" t="s">
        <v>12</v>
      </c>
      <c r="B13" s="5" t="s">
        <v>13</v>
      </c>
    </row>
    <row r="14" customFormat="false" ht="15" hidden="false" customHeight="false" outlineLevel="0" collapsed="false">
      <c r="A14" s="10" t="s">
        <v>14</v>
      </c>
      <c r="B14" s="5" t="s">
        <v>15</v>
      </c>
    </row>
    <row r="15" customFormat="false" ht="15" hidden="false" customHeight="false" outlineLevel="0" collapsed="false">
      <c r="A15" s="10" t="s">
        <v>16</v>
      </c>
      <c r="B15" s="5" t="s">
        <v>17</v>
      </c>
    </row>
    <row r="16" customFormat="false" ht="15" hidden="false" customHeight="false" outlineLevel="0" collapsed="false">
      <c r="A16" s="10" t="s">
        <v>18</v>
      </c>
      <c r="B16" s="5" t="s">
        <v>19</v>
      </c>
    </row>
    <row r="17" customFormat="false" ht="15" hidden="false" customHeight="false" outlineLevel="0" collapsed="false">
      <c r="A17" s="10" t="s">
        <v>20</v>
      </c>
      <c r="B17" s="5" t="s">
        <v>21</v>
      </c>
    </row>
    <row r="18" customFormat="false" ht="15" hidden="false" customHeight="false" outlineLevel="0" collapsed="false">
      <c r="A18" s="10" t="s">
        <v>22</v>
      </c>
      <c r="B18" s="5" t="s">
        <v>23</v>
      </c>
    </row>
    <row r="20" customFormat="false" ht="15" hidden="false" customHeight="false" outlineLevel="0" collapsed="false">
      <c r="A20" s="11" t="s">
        <v>24</v>
      </c>
    </row>
    <row r="21" customFormat="false" ht="15" hidden="false" customHeight="false" outlineLevel="0" collapsed="false">
      <c r="A21" s="1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13" t="s">
        <v>27</v>
      </c>
    </row>
    <row r="4" customFormat="false" ht="30" hidden="false" customHeight="true" outlineLevel="0" collapsed="false">
      <c r="A4" s="14" t="s">
        <v>28</v>
      </c>
      <c r="B4" s="14" t="s">
        <v>29</v>
      </c>
      <c r="C4" s="14" t="s">
        <v>30</v>
      </c>
      <c r="D4" s="14" t="s">
        <v>31</v>
      </c>
      <c r="E4" s="14" t="s">
        <v>32</v>
      </c>
      <c r="F4" s="14" t="s">
        <v>33</v>
      </c>
    </row>
    <row r="5" customFormat="false" ht="15" hidden="false" customHeight="false" outlineLevel="0" collapsed="false">
      <c r="A5" s="15" t="s">
        <v>34</v>
      </c>
      <c r="B5" s="16" t="s">
        <v>35</v>
      </c>
      <c r="C5" s="17"/>
      <c r="D5" s="18" t="n">
        <f aca="false">C5/3.3058</f>
        <v>0</v>
      </c>
      <c r="E5" s="16" t="s">
        <v>36</v>
      </c>
      <c r="F5" s="19"/>
    </row>
    <row r="6" customFormat="false" ht="15" hidden="false" customHeight="false" outlineLevel="0" collapsed="false">
      <c r="A6" s="15" t="s">
        <v>37</v>
      </c>
      <c r="B6" s="16" t="s">
        <v>35</v>
      </c>
      <c r="C6" s="17"/>
      <c r="D6" s="18" t="n">
        <f aca="false">C6/3.3058</f>
        <v>0</v>
      </c>
      <c r="E6" s="16" t="s">
        <v>36</v>
      </c>
      <c r="F6" s="19"/>
    </row>
    <row r="7" customFormat="false" ht="15" hidden="false" customHeight="false" outlineLevel="0" collapsed="false">
      <c r="A7" s="15" t="s">
        <v>38</v>
      </c>
      <c r="B7" s="16" t="s">
        <v>35</v>
      </c>
      <c r="C7" s="17"/>
      <c r="D7" s="18" t="n">
        <f aca="false">C7/3.3058</f>
        <v>0</v>
      </c>
      <c r="E7" s="16" t="s">
        <v>36</v>
      </c>
      <c r="F7" s="19"/>
    </row>
    <row r="8" customFormat="false" ht="15" hidden="false" customHeight="false" outlineLevel="0" collapsed="false">
      <c r="A8" s="20" t="s">
        <v>39</v>
      </c>
      <c r="B8" s="21"/>
      <c r="C8" s="22" t="n">
        <v>651.2</v>
      </c>
      <c r="D8" s="23" t="n">
        <f aca="false">C8/3.3058</f>
        <v>196.987113557989</v>
      </c>
      <c r="E8" s="21"/>
      <c r="F8" s="21"/>
    </row>
    <row r="10" customFormat="false" ht="15" hidden="false" customHeight="false" outlineLevel="0" collapsed="false">
      <c r="A10" s="1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30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13" t="s">
        <v>42</v>
      </c>
    </row>
    <row r="4" customFormat="false" ht="30" hidden="false" customHeight="true" outlineLevel="0" collapsed="false">
      <c r="A4" s="14" t="s">
        <v>43</v>
      </c>
      <c r="B4" s="14" t="s">
        <v>44</v>
      </c>
      <c r="C4" s="14" t="s">
        <v>45</v>
      </c>
    </row>
    <row r="5" customFormat="false" ht="15" hidden="false" customHeight="false" outlineLevel="0" collapsed="false">
      <c r="A5" s="24" t="s">
        <v>32</v>
      </c>
      <c r="B5" s="15" t="s">
        <v>46</v>
      </c>
      <c r="C5" s="25" t="s">
        <v>47</v>
      </c>
    </row>
    <row r="6" customFormat="false" ht="15" hidden="false" customHeight="false" outlineLevel="0" collapsed="false">
      <c r="A6" s="24" t="s">
        <v>48</v>
      </c>
      <c r="B6" s="26"/>
      <c r="C6" s="25" t="s">
        <v>49</v>
      </c>
    </row>
    <row r="7" customFormat="false" ht="15" hidden="false" customHeight="false" outlineLevel="0" collapsed="false">
      <c r="A7" s="24" t="s">
        <v>50</v>
      </c>
      <c r="B7" s="26"/>
      <c r="C7" s="25" t="s">
        <v>49</v>
      </c>
    </row>
    <row r="8" customFormat="false" ht="15" hidden="false" customHeight="false" outlineLevel="0" collapsed="false">
      <c r="A8" s="24" t="s">
        <v>51</v>
      </c>
      <c r="B8" s="27" t="s">
        <v>52</v>
      </c>
      <c r="C8" s="28" t="s">
        <v>53</v>
      </c>
    </row>
    <row r="9" customFormat="false" ht="15" hidden="false" customHeight="false" outlineLevel="0" collapsed="false">
      <c r="A9" s="24" t="s">
        <v>54</v>
      </c>
      <c r="B9" s="27" t="s">
        <v>55</v>
      </c>
      <c r="C9" s="25" t="s">
        <v>56</v>
      </c>
    </row>
    <row r="10" customFormat="false" ht="15" hidden="false" customHeight="false" outlineLevel="0" collapsed="false">
      <c r="A10" s="24" t="s">
        <v>57</v>
      </c>
      <c r="B10" s="15" t="s">
        <v>58</v>
      </c>
      <c r="C10" s="25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8"/>
  </cols>
  <sheetData>
    <row r="1" customFormat="false" ht="17.35" hidden="false" customHeight="false" outlineLevel="0" collapsed="false">
      <c r="A1" s="1" t="s">
        <v>60</v>
      </c>
    </row>
    <row r="4" customFormat="false" ht="30" hidden="false" customHeight="true" outlineLevel="0" collapsed="false">
      <c r="A4" s="14" t="s">
        <v>43</v>
      </c>
      <c r="B4" s="14" t="s">
        <v>44</v>
      </c>
    </row>
    <row r="5" customFormat="false" ht="15" hidden="false" customHeight="false" outlineLevel="0" collapsed="false">
      <c r="A5" s="24" t="s">
        <v>61</v>
      </c>
      <c r="B5" s="15" t="s">
        <v>62</v>
      </c>
    </row>
    <row r="6" customFormat="false" ht="15" hidden="false" customHeight="false" outlineLevel="0" collapsed="false">
      <c r="A6" s="24" t="s">
        <v>63</v>
      </c>
      <c r="B6" s="15" t="s">
        <v>64</v>
      </c>
    </row>
    <row r="7" customFormat="false" ht="15" hidden="false" customHeight="false" outlineLevel="0" collapsed="false">
      <c r="A7" s="24" t="s">
        <v>65</v>
      </c>
      <c r="B7" s="15" t="s">
        <v>66</v>
      </c>
    </row>
    <row r="8" customFormat="false" ht="15" hidden="false" customHeight="false" outlineLevel="0" collapsed="false">
      <c r="A8" s="24" t="s">
        <v>67</v>
      </c>
      <c r="B8" s="15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5"/>
  </cols>
  <sheetData>
    <row r="1" customFormat="false" ht="21.6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30" hidden="false" customHeight="true" outlineLevel="0" collapsed="false">
      <c r="A4" s="29" t="s">
        <v>28</v>
      </c>
      <c r="B4" s="29" t="s">
        <v>71</v>
      </c>
      <c r="C4" s="29" t="s">
        <v>72</v>
      </c>
      <c r="D4" s="29" t="s">
        <v>73</v>
      </c>
      <c r="E4" s="29" t="s">
        <v>74</v>
      </c>
      <c r="F4" s="29" t="s">
        <v>75</v>
      </c>
    </row>
    <row r="5" customFormat="false" ht="15" hidden="false" customHeight="false" outlineLevel="0" collapsed="false">
      <c r="A5" s="15" t="s">
        <v>34</v>
      </c>
      <c r="B5" s="30" t="n">
        <v>412.5</v>
      </c>
      <c r="C5" s="15" t="s">
        <v>76</v>
      </c>
      <c r="D5" s="30" t="n">
        <v>0</v>
      </c>
      <c r="E5" s="31" t="s">
        <v>77</v>
      </c>
      <c r="F5" s="32" t="n">
        <f aca="false">B5-D5</f>
        <v>412.5</v>
      </c>
    </row>
    <row r="6" customFormat="false" ht="15" hidden="false" customHeight="false" outlineLevel="0" collapsed="false">
      <c r="A6" s="15" t="s">
        <v>37</v>
      </c>
      <c r="B6" s="30" t="n">
        <v>158.3</v>
      </c>
      <c r="C6" s="33" t="s">
        <v>78</v>
      </c>
      <c r="D6" s="34" t="n">
        <v>9.8</v>
      </c>
      <c r="E6" s="16" t="s">
        <v>79</v>
      </c>
      <c r="F6" s="32" t="n">
        <f aca="false">B6-D6</f>
        <v>148.5</v>
      </c>
    </row>
    <row r="7" customFormat="false" ht="15" hidden="false" customHeight="false" outlineLevel="0" collapsed="false">
      <c r="A7" s="15" t="s">
        <v>38</v>
      </c>
      <c r="B7" s="30" t="n">
        <v>80.4</v>
      </c>
      <c r="C7" s="15" t="s">
        <v>76</v>
      </c>
      <c r="D7" s="30" t="n">
        <v>0</v>
      </c>
      <c r="E7" s="31" t="s">
        <v>77</v>
      </c>
      <c r="F7" s="32" t="n">
        <f aca="false">B7-D7</f>
        <v>80.4</v>
      </c>
    </row>
    <row r="8" customFormat="false" ht="15" hidden="false" customHeight="false" outlineLevel="0" collapsed="false">
      <c r="A8" s="20" t="s">
        <v>39</v>
      </c>
      <c r="B8" s="35" t="n">
        <f aca="false">SUM(B5:B7)</f>
        <v>651.2</v>
      </c>
      <c r="C8" s="21"/>
      <c r="D8" s="36" t="n">
        <f aca="false">SUM(D5:D7)</f>
        <v>9.8</v>
      </c>
      <c r="E8" s="21"/>
      <c r="F8" s="22" t="n">
        <f aca="false">SUM(F5:F7)</f>
        <v>641.4</v>
      </c>
    </row>
    <row r="10" customFormat="false" ht="15" hidden="false" customHeight="false" outlineLevel="0" collapsed="false">
      <c r="A10" s="37" t="s">
        <v>80</v>
      </c>
    </row>
    <row r="11" customFormat="false" ht="15" hidden="false" customHeight="false" outlineLevel="0" collapsed="false">
      <c r="A11" s="38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24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82</v>
      </c>
    </row>
    <row r="2" customFormat="false" ht="15" hidden="false" customHeight="false" outlineLevel="0" collapsed="false">
      <c r="A2" s="13" t="s">
        <v>83</v>
      </c>
    </row>
    <row r="4" customFormat="false" ht="30" hidden="false" customHeight="true" outlineLevel="0" collapsed="false">
      <c r="A4" s="29" t="s">
        <v>84</v>
      </c>
      <c r="B4" s="29" t="s">
        <v>85</v>
      </c>
      <c r="C4" s="29" t="s">
        <v>86</v>
      </c>
      <c r="D4" s="29" t="s">
        <v>87</v>
      </c>
      <c r="E4" s="29" t="s">
        <v>88</v>
      </c>
      <c r="F4" s="29" t="s">
        <v>45</v>
      </c>
    </row>
    <row r="5" customFormat="false" ht="15" hidden="false" customHeight="false" outlineLevel="0" collapsed="false">
      <c r="A5" s="15" t="s">
        <v>89</v>
      </c>
      <c r="B5" s="39" t="n">
        <v>8</v>
      </c>
      <c r="C5" s="40" t="n">
        <f aca="false">$B$12*B5</f>
        <v>5131.2</v>
      </c>
      <c r="D5" s="40" t="n">
        <f aca="false">C5/3.3058</f>
        <v>1552.18101518543</v>
      </c>
      <c r="E5" s="41" t="n">
        <f aca="false">ROUND($B$13/D5,0)</f>
        <v>5733867</v>
      </c>
      <c r="F5" s="25" t="s">
        <v>90</v>
      </c>
    </row>
    <row r="6" customFormat="false" ht="15" hidden="false" customHeight="false" outlineLevel="0" collapsed="false">
      <c r="A6" s="15" t="s">
        <v>91</v>
      </c>
      <c r="B6" s="39" t="n">
        <v>10</v>
      </c>
      <c r="C6" s="40" t="n">
        <f aca="false">$B$12*B6</f>
        <v>6414</v>
      </c>
      <c r="D6" s="40" t="n">
        <f aca="false">C6/3.3058</f>
        <v>1940.22626898179</v>
      </c>
      <c r="E6" s="41" t="n">
        <f aca="false">ROUND($B$13/D6,0)</f>
        <v>4587094</v>
      </c>
      <c r="F6" s="25" t="s">
        <v>92</v>
      </c>
    </row>
    <row r="7" customFormat="false" ht="15" hidden="false" customHeight="false" outlineLevel="0" collapsed="false">
      <c r="A7" s="15" t="s">
        <v>93</v>
      </c>
      <c r="B7" s="39" t="n">
        <v>12.6</v>
      </c>
      <c r="C7" s="32" t="n">
        <f aca="false">$B$12*B7</f>
        <v>8081.64</v>
      </c>
      <c r="D7" s="32" t="n">
        <f aca="false">C7/3.3058</f>
        <v>2444.68509891706</v>
      </c>
      <c r="E7" s="42" t="n">
        <f aca="false">ROUND($B$13/D7,0)</f>
        <v>3640551</v>
      </c>
      <c r="F7" s="28" t="s">
        <v>94</v>
      </c>
    </row>
    <row r="8" customFormat="false" ht="15" hidden="false" customHeight="false" outlineLevel="0" collapsed="false">
      <c r="A8" s="15" t="s">
        <v>95</v>
      </c>
      <c r="B8" s="39" t="n">
        <v>15</v>
      </c>
      <c r="C8" s="40" t="n">
        <f aca="false">$B$12*B8</f>
        <v>9621</v>
      </c>
      <c r="D8" s="40" t="n">
        <f aca="false">C8/3.3058</f>
        <v>2910.33940347268</v>
      </c>
      <c r="E8" s="41" t="n">
        <f aca="false">ROUND($B$13/D8,0)</f>
        <v>3058063</v>
      </c>
      <c r="F8" s="25" t="s">
        <v>96</v>
      </c>
    </row>
    <row r="11" customFormat="false" ht="15" hidden="false" customHeight="false" outlineLevel="0" collapsed="false">
      <c r="A11" s="3" t="s">
        <v>97</v>
      </c>
    </row>
    <row r="12" customFormat="false" ht="15" hidden="false" customHeight="false" outlineLevel="0" collapsed="false">
      <c r="A12" s="5" t="s">
        <v>98</v>
      </c>
      <c r="B12" s="17" t="n">
        <v>641.4</v>
      </c>
    </row>
    <row r="13" customFormat="false" ht="15" hidden="false" customHeight="false" outlineLevel="0" collapsed="false">
      <c r="A13" s="5" t="s">
        <v>99</v>
      </c>
      <c r="B13" s="43" t="n">
        <v>8900000000</v>
      </c>
    </row>
    <row r="14" customFormat="false" ht="15" hidden="false" customHeight="false" outlineLevel="0" collapsed="false">
      <c r="A14" s="5" t="s">
        <v>100</v>
      </c>
      <c r="B14" s="44" t="n">
        <f aca="false">B13/(651.2/3.3058)</f>
        <v>45180620.3931204</v>
      </c>
    </row>
    <row r="16" customFormat="false" ht="15" hidden="false" customHeight="false" outlineLevel="0" collapsed="false">
      <c r="A16" s="45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102</v>
      </c>
    </row>
    <row r="2" customFormat="false" ht="15" hidden="false" customHeight="false" outlineLevel="0" collapsed="false">
      <c r="A2" s="2" t="s">
        <v>70</v>
      </c>
    </row>
    <row r="4" customFormat="false" ht="30" hidden="false" customHeight="true" outlineLevel="0" collapsed="false">
      <c r="A4" s="29" t="s">
        <v>103</v>
      </c>
      <c r="B4" s="29" t="s">
        <v>104</v>
      </c>
      <c r="C4" s="29" t="s">
        <v>105</v>
      </c>
      <c r="D4" s="29" t="s">
        <v>44</v>
      </c>
    </row>
    <row r="5" customFormat="false" ht="15" hidden="false" customHeight="false" outlineLevel="0" collapsed="false">
      <c r="A5" s="24" t="s">
        <v>106</v>
      </c>
      <c r="B5" s="46" t="s">
        <v>107</v>
      </c>
      <c r="C5" s="41" t="n">
        <v>18</v>
      </c>
      <c r="D5" s="15" t="s">
        <v>108</v>
      </c>
    </row>
    <row r="6" customFormat="false" ht="15" hidden="false" customHeight="false" outlineLevel="0" collapsed="false">
      <c r="A6" s="24" t="s">
        <v>109</v>
      </c>
      <c r="B6" s="47" t="s">
        <v>110</v>
      </c>
      <c r="C6" s="41" t="n">
        <v>6</v>
      </c>
      <c r="D6" s="15" t="s">
        <v>111</v>
      </c>
    </row>
    <row r="7" customFormat="false" ht="15" hidden="false" customHeight="false" outlineLevel="0" collapsed="false">
      <c r="A7" s="24" t="s">
        <v>112</v>
      </c>
      <c r="B7" s="48" t="s">
        <v>113</v>
      </c>
      <c r="C7" s="41" t="n">
        <v>2</v>
      </c>
      <c r="D7" s="15" t="s">
        <v>114</v>
      </c>
    </row>
    <row r="8" customFormat="false" ht="15" hidden="false" customHeight="false" outlineLevel="0" collapsed="false">
      <c r="A8" s="24" t="s">
        <v>115</v>
      </c>
      <c r="B8" s="47" t="s">
        <v>110</v>
      </c>
      <c r="C8" s="41" t="s">
        <v>77</v>
      </c>
      <c r="D8" s="15" t="s">
        <v>116</v>
      </c>
    </row>
    <row r="9" customFormat="false" ht="15" hidden="false" customHeight="false" outlineLevel="0" collapsed="false">
      <c r="A9" s="24" t="s">
        <v>117</v>
      </c>
      <c r="B9" s="48" t="s">
        <v>113</v>
      </c>
      <c r="C9" s="41" t="s">
        <v>77</v>
      </c>
      <c r="D9" s="15" t="s">
        <v>118</v>
      </c>
    </row>
    <row r="10" customFormat="false" ht="15" hidden="false" customHeight="false" outlineLevel="0" collapsed="false">
      <c r="A10" s="24" t="s">
        <v>119</v>
      </c>
      <c r="B10" s="48" t="s">
        <v>113</v>
      </c>
      <c r="C10" s="41" t="n">
        <v>1</v>
      </c>
      <c r="D10" s="15" t="s">
        <v>120</v>
      </c>
    </row>
    <row r="11" customFormat="false" ht="15" hidden="false" customHeight="false" outlineLevel="0" collapsed="false">
      <c r="A11" s="20" t="s">
        <v>121</v>
      </c>
      <c r="B11" s="21"/>
      <c r="C11" s="42" t="n">
        <f aca="false">MAX(C5:C10)</f>
        <v>18</v>
      </c>
      <c r="D11" s="49" t="s">
        <v>122</v>
      </c>
    </row>
    <row r="13" customFormat="false" ht="15" hidden="false" customHeight="false" outlineLevel="0" collapsed="false">
      <c r="A13" s="37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2" t="s">
        <v>125</v>
      </c>
    </row>
    <row r="4" customFormat="false" ht="30" hidden="false" customHeight="true" outlineLevel="0" collapsed="false">
      <c r="A4" s="29" t="s">
        <v>43</v>
      </c>
      <c r="B4" s="29" t="s">
        <v>126</v>
      </c>
      <c r="C4" s="29" t="s">
        <v>127</v>
      </c>
    </row>
    <row r="5" customFormat="false" ht="15" hidden="false" customHeight="false" outlineLevel="0" collapsed="false">
      <c r="A5" s="24" t="s">
        <v>128</v>
      </c>
      <c r="B5" s="50" t="n">
        <v>8900000000</v>
      </c>
      <c r="C5" s="28" t="s">
        <v>94</v>
      </c>
    </row>
    <row r="6" customFormat="false" ht="15" hidden="false" customHeight="false" outlineLevel="0" collapsed="false">
      <c r="A6" s="25" t="s">
        <v>129</v>
      </c>
      <c r="B6" s="51" t="n">
        <f aca="false">ROUND(B5*0.046,0)</f>
        <v>409400000</v>
      </c>
      <c r="C6" s="25" t="s">
        <v>130</v>
      </c>
    </row>
    <row r="7" customFormat="false" ht="15" hidden="false" customHeight="false" outlineLevel="0" collapsed="false">
      <c r="A7" s="25" t="s">
        <v>131</v>
      </c>
      <c r="B7" s="51" t="n">
        <f aca="false">ROUND(B5*0.009,0)</f>
        <v>80100000</v>
      </c>
      <c r="C7" s="25" t="s">
        <v>132</v>
      </c>
    </row>
    <row r="8" customFormat="false" ht="15" hidden="false" customHeight="false" outlineLevel="0" collapsed="false">
      <c r="A8" s="25" t="s">
        <v>133</v>
      </c>
      <c r="B8" s="50" t="n">
        <v>20000000</v>
      </c>
      <c r="C8" s="25" t="s">
        <v>134</v>
      </c>
    </row>
    <row r="9" customFormat="false" ht="15" hidden="false" customHeight="false" outlineLevel="0" collapsed="false">
      <c r="A9" s="25" t="s">
        <v>135</v>
      </c>
      <c r="B9" s="50" t="n">
        <v>15000000</v>
      </c>
      <c r="C9" s="25" t="s">
        <v>134</v>
      </c>
    </row>
    <row r="10" customFormat="false" ht="15" hidden="false" customHeight="false" outlineLevel="0" collapsed="false">
      <c r="A10" s="52" t="s">
        <v>136</v>
      </c>
      <c r="B10" s="53" t="n">
        <f aca="false">SUM(B5:B9)</f>
        <v>9424500000</v>
      </c>
      <c r="C10" s="5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6" min="6" style="0" width="15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137</v>
      </c>
    </row>
    <row r="2" customFormat="false" ht="15" hidden="false" customHeight="false" outlineLevel="0" collapsed="false">
      <c r="A2" s="2" t="s">
        <v>70</v>
      </c>
    </row>
    <row r="4" customFormat="false" ht="30" hidden="false" customHeight="true" outlineLevel="0" collapsed="false">
      <c r="A4" s="29" t="s">
        <v>138</v>
      </c>
      <c r="B4" s="29" t="s">
        <v>139</v>
      </c>
      <c r="C4" s="29" t="s">
        <v>32</v>
      </c>
      <c r="D4" s="29" t="s">
        <v>140</v>
      </c>
      <c r="E4" s="29" t="s">
        <v>126</v>
      </c>
      <c r="F4" s="29" t="s">
        <v>141</v>
      </c>
      <c r="G4" s="29" t="s">
        <v>45</v>
      </c>
    </row>
    <row r="5" customFormat="false" ht="15" hidden="false" customHeight="false" outlineLevel="0" collapsed="false">
      <c r="A5" s="15" t="s">
        <v>142</v>
      </c>
      <c r="B5" s="31" t="s">
        <v>143</v>
      </c>
      <c r="C5" s="16" t="s">
        <v>144</v>
      </c>
      <c r="D5" s="55" t="n">
        <v>142</v>
      </c>
      <c r="E5" s="55" t="n">
        <v>6100000000</v>
      </c>
      <c r="F5" s="41" t="n">
        <f aca="false">ROUND(E5/D5,0)</f>
        <v>42957746</v>
      </c>
      <c r="G5" s="15" t="s">
        <v>58</v>
      </c>
    </row>
    <row r="6" customFormat="false" ht="15" hidden="false" customHeight="false" outlineLevel="0" collapsed="false">
      <c r="A6" s="15" t="s">
        <v>145</v>
      </c>
      <c r="B6" s="31" t="s">
        <v>146</v>
      </c>
      <c r="C6" s="16" t="s">
        <v>144</v>
      </c>
      <c r="D6" s="55" t="n">
        <v>188</v>
      </c>
      <c r="E6" s="55" t="n">
        <v>8800000000</v>
      </c>
      <c r="F6" s="41" t="n">
        <f aca="false">ROUND(E6/D6,0)</f>
        <v>46808511</v>
      </c>
      <c r="G6" s="15" t="s">
        <v>147</v>
      </c>
    </row>
    <row r="7" customFormat="false" ht="15" hidden="false" customHeight="false" outlineLevel="0" collapsed="false">
      <c r="A7" s="15" t="s">
        <v>148</v>
      </c>
      <c r="B7" s="31" t="s">
        <v>149</v>
      </c>
      <c r="C7" s="16" t="s">
        <v>144</v>
      </c>
      <c r="D7" s="55" t="n">
        <v>221</v>
      </c>
      <c r="E7" s="55" t="n">
        <v>9500000000</v>
      </c>
      <c r="F7" s="41" t="n">
        <f aca="false">ROUND(E7/D7,0)</f>
        <v>42986425</v>
      </c>
      <c r="G7" s="15" t="s">
        <v>150</v>
      </c>
    </row>
    <row r="8" customFormat="false" ht="15" hidden="false" customHeight="false" outlineLevel="0" collapsed="false">
      <c r="A8" s="52" t="s">
        <v>151</v>
      </c>
      <c r="B8" s="54" t="s">
        <v>77</v>
      </c>
      <c r="C8" s="56" t="s">
        <v>144</v>
      </c>
      <c r="D8" s="23" t="n">
        <v>196.98</v>
      </c>
      <c r="E8" s="42" t="n">
        <v>8900000000</v>
      </c>
      <c r="F8" s="42" t="n">
        <f aca="false">ROUND(E8/D8,0)</f>
        <v>45182252</v>
      </c>
      <c r="G8" s="57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2026-08-03T04:43:18Z</dcterms:created>
  <dc:creator>openpyxl</dc:creator>
  <dc:description/>
  <dc:language>en-US</dc:language>
  <cp:lastModifiedBy/>
  <dcterms:modified xsi:type="dcterms:W3CDTF">2026-08-03T04:43:18Z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