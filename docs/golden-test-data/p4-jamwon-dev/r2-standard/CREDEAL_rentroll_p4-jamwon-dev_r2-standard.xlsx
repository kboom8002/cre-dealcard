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원본 표기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한 층에 둘이면 행을 나눕니다</t>
        </r>
        <r>
          <rPr>
            <family val="2"/>
            <sz val="10"/>
            <rFont val="Arial"/>
          </rPr>
          <t>.</t>
        </r>
      </text>
    </comment>
    <comment ref="B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조건부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통합계약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한 계약서로 여러 호실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일 때만 같은 이름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금액은 대표 행에만</t>
        </r>
        <r>
          <rPr>
            <family val="2"/>
            <sz val="10"/>
            <rFont val="Arial"/>
          </rPr>
          <t>.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<sst xmlns="http://schemas.openxmlformats.org/spreadsheetml/2006/main" count="755" uniqueCount="534">
  <si>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</si>
  <si>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</si>
  <si>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</si>
  <si>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</si>
  <si>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</si>
  <si>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</si>
  <si>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</si>
  <si>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</si>
  <si>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</si>
  <si>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</si>
  <si>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</si>
  <si>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</si>
  <si>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</si>
  <si>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</si>
  <si>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</si>
  <si>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</si>
  <si>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</si>
  <si>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</si>
  <si>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</si>
  <si>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</si>
  <si>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</si>
  <si>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</si>
  <si>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</si>
  <si>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</si>
  <si>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</si>
  <si>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</si>
  <si>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</si>
  <si>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</si>
  <si>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</si>
  <si>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</si>
  <si>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</si>
  <si>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</si>
  <si>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</si>
  <si>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</si>
  <si>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</si>
  <si>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</si>
  <si>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</si>
  <si>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</si>
  <si>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</si>
  <si>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</si>
  <si>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</si>
  <si>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</si>
  <si>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</si>
  <si>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</si>
  <si>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</si>
  <si>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</si>
  <si>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</si>
  <si>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</si>
  <si>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</si>
  <si>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</si>
  <si>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</si>
  <si>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</si>
  <si>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</si>
  <si>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</si>
  <si>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</si>
  <si>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</si>
  <si>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</si>
  <si>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</si>
  <si>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</si>
  <si>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</si>
  <si>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</si>
  <si>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</si>
  <si>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</si>
  <si>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</si>
  <si>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</si>
  <si>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</si>
  <si>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</si>
  <si>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</si>
  <si>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</si>
  <si>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</si>
  <si>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</si>
  <si>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</si>
  <si>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</si>
  <si>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</si>
  <si>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</si>
  <si>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</si>
  <si>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r>
      <rPr>
        <charset val="1"/>
        <sz val="10"/>
        <rFont val="맑은 고딕"/>
      </rPr>
      <t>13</t>
    </r>
    <r>
      <rPr>
        <family val="2"/>
        <sz val="10"/>
        <rFont val="Noto Sans CJK SC"/>
      </rPr>
      <t>행의 예시 행은 비고에 「예시 행」 문구가 있어 업로드에서 자동 제외되지만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보기 혼란을 막기 위해 지우고 쓰세요</t>
    </r>
    <r>
      <rPr>
        <charset val="1"/>
        <sz val="10"/>
        <rFont val="맑은 고딕"/>
      </rPr>
      <t>.</t>
    </r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</si>
  <si>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</si>
  <si>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</si>
  <si>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</si>
  <si>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</si>
  <si>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</si>
  <si>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</si>
  <si>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</si>
  <si>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</si>
  <si>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</si>
  <si>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</si>
  <si>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</si>
  <si>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</si>
  <si>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</si>
  <si>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</si>
  <si>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</si>
  <si>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</si>
  <si>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</si>
  <si>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</si>
  <si>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</si>
  <si>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</si>
  <si>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</si>
  <si>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</si>
  <si>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</si>
  <si>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</si>
  <si>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</si>
  <si>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</si>
  <si>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</si>
  <si>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</si>
  <si>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</si>
  <si>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</si>
  <si>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</si>
  <si>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</si>
  <si>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</si>
  <si>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</si>
  <si>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</si>
  <si>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</si>
  <si>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</si>
  <si>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셀만 입력 · 회색은 자동계산 · 1행=1호실 · 면적 단위는 G9에서 ㎡/평 선택(기본 ㎡) · 금액 원(VAT 별도) · 11행 R1/R2/R3 = 해상도 · v1.5: 면적 입력 단위 선택, AE·AF열 ㎡ 환산(정본)</t>
  </si>
  <si>
    <t>물건명</t>
  </si>
  <si>
    <t>잠원동 개발부지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</si>
  <si>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</si>
  <si>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</si>
  <si>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</si>
  <si>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</si>
  <si>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서울특별시 서초구 잠원동 26-14, 16번지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</si>
  <si>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</si>
  <si>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</si>
  <si>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</si>
  <si>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</si>
  <si>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</si>
  <si>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</si>
  <si>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</si>
  <si>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</si>
  <si>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</si>
  <si>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</si>
  <si>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</si>
  <si>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</si>
  <si>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</si>
  <si>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</si>
  <si>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</si>
  <si>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</si>
  <si>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</si>
  <si>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</si>
  <si>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</si>
  <si>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</si>
  <si>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</si>
  <si>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</si>
  <si>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</si>
  <si>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</si>
  <si>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</si>
  <si>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</si>
  <si>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</si>
  <si>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</si>
  <si>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</si>
  <si>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</si>
  <si>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</si>
  <si>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</si>
  <si>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</si>
  <si>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</si>
  <si>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</si>
  <si>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</si>
  <si>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</si>
  <si>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</si>
  <si>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</si>
  <si>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</si>
  <si>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</si>
  <si>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</si>
  <si>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</si>
  <si>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</si>
  <si>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</si>
  <si>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</si>
  <si>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</si>
  <si>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</si>
  <si>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</si>
  <si>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</si>
  <si>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</si>
  <si>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</si>
  <si>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B1</t>
  </si>
  <si>
    <t>주점</t>
  </si>
  <si>
    <t>임대중</t>
  </si>
  <si>
    <t>협의 중</t>
  </si>
  <si>
    <t>창고</t>
  </si>
  <si>
    <t>합의 완료</t>
  </si>
  <si>
    <t>1F</t>
  </si>
  <si>
    <t>소매점</t>
  </si>
  <si>
    <t>미협의</t>
  </si>
  <si>
    <t>휴게음식점</t>
  </si>
  <si>
    <t>부동산중개</t>
  </si>
  <si>
    <t>만기퇴거</t>
  </si>
  <si>
    <t>2F</t>
  </si>
  <si>
    <t>일반음식점</t>
  </si>
  <si>
    <t>3F-1</t>
  </si>
  <si>
    <t>사무소</t>
  </si>
  <si>
    <t>3F-2</t>
  </si>
  <si>
    <t>의원</t>
  </si>
  <si>
    <t>4F</t>
  </si>
  <si>
    <t>5F-1</t>
  </si>
  <si>
    <t>학원</t>
  </si>
  <si>
    <t>5F-2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</si>
  <si>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</si>
  <si>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</si>
  <si>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</si>
  <si>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</si>
  <si>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</si>
  <si>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</si>
  <si>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</si>
  <si>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</si>
  <si>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</si>
  <si>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</si>
  <si>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</si>
  <si>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</si>
  <si>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</si>
  <si>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</si>
  <si>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</si>
  <si>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</si>
  <si>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</si>
  <si>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</si>
  <si>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</si>
  <si>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</si>
  <si>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</si>
  <si>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</si>
  <si>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</si>
  <si>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</si>
  <si>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</si>
  <si>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</si>
  <si>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</si>
  <si>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</si>
  <si>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</si>
  <si>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</si>
  <si>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</si>
  <si>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</si>
  <si>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</si>
  <si>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</si>
  <si>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</si>
  <si>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</si>
  <si>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</si>
  <si>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</si>
  <si>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</si>
  <si>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</si>
  <si>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</si>
  <si>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</si>
  <si>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</si>
  <si>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</si>
  <si>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</si>
  <si>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</si>
  <si>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</si>
  <si>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</si>
  <si>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</si>
  <si>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</si>
  <si>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</si>
  <si>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</si>
  <si>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</si>
  <si>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</si>
  <si>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</si>
  <si>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</si>
  <si>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</si>
  <si>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</si>
  <si>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</si>
  <si>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</si>
  <si>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</si>
  <si>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</si>
  <si>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</si>
  <si>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</si>
  <si>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</si>
  <si>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</si>
  <si>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</si>
  <si>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</si>
  <si>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</si>
  <si>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</si>
  <si>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</si>
  <si>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</si>
  <si>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</si>
  <si>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</si>
  <si>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</si>
  <si>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</si>
  <si>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</si>
  <si>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</si>
  <si>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</si>
  <si>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</si>
  <si>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</si>
  <si>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</si>
  <si>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</si>
  <si>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</si>
  <si>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</si>
  <si>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</si>
  <si>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</si>
  <si>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</si>
  <si>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</si>
  <si>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</si>
  <si>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</si>
  <si>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</si>
  <si>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</si>
  <si>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</si>
  <si>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</si>
  <si>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</si>
  <si>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</si>
  <si>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</si>
  <si>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</si>
  <si>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</si>
  <si>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</si>
  <si>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</si>
  <si>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</si>
  <si>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</si>
  <si>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</si>
  <si>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</si>
  <si>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</si>
  <si>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</si>
  <si>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</si>
  <si>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</si>
  <si>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</si>
  <si>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</si>
  <si>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</si>
  <si>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</si>
  <si>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</si>
  <si>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</si>
  <si>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</si>
  <si>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</si>
  <si>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</si>
  <si>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</si>
  <si>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</si>
  <si>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</si>
  <si>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A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</si>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</sst>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charset val="1"/>
      <family val="2"/>
      <sz val="9"/>
      <name val="Noto Sans CJK SC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center"/>
    </xf>
    <xf numFmtId="49" fontId="21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bottom"/>
    </xf>
    <xf numFmtId="0" fontId="23" fillId="2" borderId="1" xfId="0" applyFont="1" applyFill="1" applyBorder="1" applyAlignment="1">
      <alignment horizontal="center" vertical="bottom"/>
    </xf>
    <xf numFmtId="0" fontId="24" fillId="2" borderId="1" xfId="0" applyFont="1" applyFill="1" applyBorder="1" applyAlignment="1">
      <alignment horizontal="center" vertical="bottom"/>
    </xf>
    <xf numFmtId="0" fontId="2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6" fillId="0" borderId="0" xfId="0" applyFont="1" applyAlignment="1">
      <alignment vertical="bottom"/>
    </xf>
    <xf numFmtId="0" fontId="27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28" fillId="0" borderId="0" xfId="0" applyFont="1" applyAlignment="1">
      <alignment vertical="bottom"/>
    </xf>
    <xf numFmtId="0" fontId="29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bottom"/>
    </xf>
    <xf numFmtId="0" fontId="2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>
        <v>24226800000</v>
      </c>
      <c r="K3" s="17"/>
      <c r="L3" s="18" t="s">
        <v>119</v>
      </c>
      <c r="M3" s="18"/>
      <c r="N3" s="18"/>
      <c r="O3" s="18"/>
    </row>
    <row r="4" ht="27" customHeight="1" spans="1:15" x14ac:dyDescent="0.25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>
        <v>2032.59</v>
      </c>
      <c r="K4" s="19"/>
      <c r="L4" s="18" t="s">
        <v>124</v>
      </c>
      <c r="M4" s="18"/>
      <c r="N4" s="18"/>
      <c r="O4" s="18"/>
    </row>
    <row r="5" ht="27" customHeight="1" spans="1:15" x14ac:dyDescent="0.25">
      <c r="A5" s="13" t="s">
        <v>125</v>
      </c>
      <c r="B5" s="13"/>
      <c r="C5" s="20">
        <v>46300</v>
      </c>
      <c r="D5" s="20"/>
      <c r="E5" s="20"/>
      <c r="F5" s="1"/>
      <c r="G5" s="1"/>
      <c r="H5" s="16" t="s">
        <v>126</v>
      </c>
      <c r="I5" s="16"/>
      <c r="J5" s="21"/>
      <c r="K5" s="21"/>
      <c r="L5" s="18" t="s">
        <v>127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</c>
      <c r="D6" s="23"/>
      <c r="E6" s="23"/>
      <c r="F6" s="15" t="s">
        <v>128</v>
      </c>
      <c r="G6" s="15"/>
      <c r="H6" s="16" t="s">
        <v>129</v>
      </c>
      <c r="I6" s="16"/>
      <c r="J6" s="21"/>
      <c r="K6" s="21"/>
      <c r="L6" s="18" t="s">
        <v>127</v>
      </c>
      <c r="M6" s="22"/>
      <c r="N6" s="22"/>
      <c r="O6" s="22"/>
    </row>
    <row r="7" ht="27" customHeight="1" spans="1:15" x14ac:dyDescent="0.25">
      <c r="A7" s="13" t="s">
        <v>130</v>
      </c>
      <c r="B7" s="13"/>
      <c r="C7" s="24">
        <v>900000000</v>
      </c>
      <c r="D7" s="24"/>
      <c r="E7" s="24"/>
      <c r="F7" s="15" t="s">
        <v>131</v>
      </c>
      <c r="G7" s="15"/>
      <c r="H7" s="16" t="s">
        <v>132</v>
      </c>
      <c r="I7" s="16"/>
      <c r="J7" s="21"/>
      <c r="K7" s="21"/>
      <c r="L7" s="18" t="s">
        <v>127</v>
      </c>
      <c r="M7" s="22"/>
      <c r="N7" s="22"/>
      <c r="O7" s="22"/>
    </row>
    <row r="8" ht="27" customHeight="1" spans="1:15" x14ac:dyDescent="0.25">
      <c r="A8" s="13" t="s">
        <v>133</v>
      </c>
      <c r="B8" s="13"/>
      <c r="C8" s="14"/>
      <c r="D8" s="14"/>
      <c r="E8" s="14"/>
      <c r="F8" s="1"/>
      <c r="G8" s="1"/>
      <c r="H8" s="16" t="s">
        <v>134</v>
      </c>
      <c r="I8" s="16"/>
      <c r="J8" s="17"/>
      <c r="K8" s="17"/>
      <c r="L8" s="18" t="s">
        <v>135</v>
      </c>
      <c r="M8" s="22"/>
      <c r="N8" s="22"/>
      <c r="O8" s="22"/>
    </row>
    <row r="9" ht="27" customHeight="1" spans="1:15" x14ac:dyDescent="0.25">
      <c r="A9" s="13" t="s">
        <v>136</v>
      </c>
      <c r="B9" s="13"/>
      <c r="C9" s="20"/>
      <c r="D9" s="20"/>
      <c r="E9" s="20"/>
      <c r="F9" s="25" t="s">
        <v>137</v>
      </c>
      <c r="G9" s="26" t="s">
        <v>138</v>
      </c>
      <c r="H9" s="27" t="s">
        <v>139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140</v>
      </c>
      <c r="B10" s="28"/>
      <c r="C10" s="29">
        <f>SUM(C13:C112)</f>
      </c>
      <c r="D10" s="29">
        <f>SUM(D13:D112)</f>
      </c>
      <c r="E10" s="30"/>
      <c r="F10" s="30"/>
      <c r="G10" s="31">
        <f>SUM(G13:G112)</f>
      </c>
      <c r="H10" s="31">
        <f>SUM(H13:H112)</f>
      </c>
      <c r="I10" s="31">
        <f>SUM(I13:I112)</f>
      </c>
      <c r="J10" s="30"/>
      <c r="K10" s="30"/>
      <c r="L10" s="30"/>
      <c r="M10" s="30"/>
      <c r="N10" s="30"/>
      <c r="O10" s="30"/>
      <c r="P10" s="30"/>
      <c r="Q10" s="32">
        <f>SUM(Q13:Q112)</f>
      </c>
      <c r="R10" s="32">
        <f>SUM(R13:R112)</f>
      </c>
      <c r="S10" s="33">
        <f>IFERROR(SUMIFS(D13:D112,C13:C112,"&gt;0",D13:D112,"&gt;0")/SUMIFS(C13:C112,C13:C112,"&gt;0",D13:D112,"&gt;0")*100,"")</f>
      </c>
      <c r="T10" s="30"/>
      <c r="U10" s="30"/>
      <c r="V10" s="30"/>
      <c r="W10" s="30"/>
      <c r="X10" s="31">
        <f>SUM(X13:X112)</f>
      </c>
      <c r="Y10" s="30"/>
      <c r="Z10" s="34"/>
      <c r="AE10" s="29">
        <f>SUM(AE13:AE112)</f>
      </c>
      <c r="AF10" s="29">
        <f>SUM(AF13:AF112)</f>
      </c>
    </row>
    <row r="11" ht="13.5" customHeight="1" spans="1:32" x14ac:dyDescent="0.25">
      <c r="A11" s="35" t="s">
        <v>141</v>
      </c>
      <c r="B11" s="36" t="s">
        <v>142</v>
      </c>
      <c r="C11" s="36" t="s">
        <v>142</v>
      </c>
      <c r="D11" s="36" t="s">
        <v>143</v>
      </c>
      <c r="E11" s="35" t="s">
        <v>141</v>
      </c>
      <c r="F11" s="36" t="s">
        <v>142</v>
      </c>
      <c r="G11" s="35" t="s">
        <v>141</v>
      </c>
      <c r="H11" s="35" t="s">
        <v>141</v>
      </c>
      <c r="I11" s="36" t="s">
        <v>142</v>
      </c>
      <c r="J11" s="37" t="s">
        <v>144</v>
      </c>
      <c r="K11" s="36" t="s">
        <v>142</v>
      </c>
      <c r="L11" s="35" t="s">
        <v>141</v>
      </c>
      <c r="M11" s="37" t="s">
        <v>144</v>
      </c>
      <c r="N11" s="37" t="s">
        <v>144</v>
      </c>
      <c r="O11" s="35" t="s">
        <v>141</v>
      </c>
      <c r="P11" s="38" t="s">
        <v>145</v>
      </c>
      <c r="Q11" s="39" t="s">
        <v>146</v>
      </c>
      <c r="R11" s="39" t="s">
        <v>146</v>
      </c>
      <c r="S11" s="39" t="s">
        <v>146</v>
      </c>
      <c r="T11" s="39" t="s">
        <v>146</v>
      </c>
      <c r="U11" s="39" t="s">
        <v>146</v>
      </c>
      <c r="V11" s="39" t="s">
        <v>146</v>
      </c>
      <c r="W11" s="39" t="s">
        <v>146</v>
      </c>
      <c r="X11" s="39" t="s">
        <v>146</v>
      </c>
      <c r="Y11" s="39" t="s">
        <v>146</v>
      </c>
      <c r="Z11" s="37" t="s">
        <v>147</v>
      </c>
      <c r="AA11" s="37" t="s">
        <v>147</v>
      </c>
      <c r="AB11" s="37" t="s">
        <v>147</v>
      </c>
      <c r="AC11" s="39" t="s">
        <v>146</v>
      </c>
      <c r="AD11" s="39" t="s">
        <v>146</v>
      </c>
      <c r="AE11" s="39" t="s">
        <v>146</v>
      </c>
      <c r="AF11" s="39" t="s">
        <v>146</v>
      </c>
    </row>
    <row r="12" ht="31.5" customHeight="1" spans="1:32" x14ac:dyDescent="0.25">
      <c r="A12" s="40" t="s">
        <v>45</v>
      </c>
      <c r="B12" s="40" t="s">
        <v>148</v>
      </c>
      <c r="C12" s="40">
        <f>"임대면적("&amp;$G$9&amp;")"</f>
      </c>
      <c r="D12" s="40">
        <f>"전용면적("&amp;$G$9&amp;")"</f>
      </c>
      <c r="E12" s="40" t="s">
        <v>47</v>
      </c>
      <c r="F12" s="40" t="s">
        <v>149</v>
      </c>
      <c r="G12" s="40" t="s">
        <v>150</v>
      </c>
      <c r="H12" s="40" t="s">
        <v>151</v>
      </c>
      <c r="I12" s="40" t="s">
        <v>152</v>
      </c>
      <c r="J12" s="40" t="s">
        <v>153</v>
      </c>
      <c r="K12" s="40" t="s">
        <v>154</v>
      </c>
      <c r="L12" s="40" t="s">
        <v>53</v>
      </c>
      <c r="M12" s="40" t="s">
        <v>155</v>
      </c>
      <c r="N12" s="40" t="s">
        <v>156</v>
      </c>
      <c r="O12" s="40" t="s">
        <v>49</v>
      </c>
      <c r="P12" s="40" t="s">
        <v>157</v>
      </c>
      <c r="Q12" s="40" t="s">
        <v>158</v>
      </c>
      <c r="R12" s="40" t="s">
        <v>159</v>
      </c>
      <c r="S12" s="40" t="s">
        <v>160</v>
      </c>
      <c r="T12" s="40" t="s">
        <v>161</v>
      </c>
      <c r="U12" s="40" t="s">
        <v>162</v>
      </c>
      <c r="V12" s="40" t="s">
        <v>163</v>
      </c>
      <c r="W12" s="40" t="s">
        <v>164</v>
      </c>
      <c r="X12" s="40" t="s">
        <v>165</v>
      </c>
      <c r="Y12" s="40" t="s">
        <v>166</v>
      </c>
      <c r="Z12" s="40" t="s">
        <v>167</v>
      </c>
      <c r="AA12" s="40" t="s">
        <v>168</v>
      </c>
      <c r="AB12" s="40" t="s">
        <v>169</v>
      </c>
      <c r="AC12" s="40" t="s">
        <v>170</v>
      </c>
      <c r="AD12" s="40" t="s">
        <v>171</v>
      </c>
      <c r="AE12" s="40" t="s">
        <v>172</v>
      </c>
      <c r="AF12" s="40" t="s">
        <v>173</v>
      </c>
    </row>
    <row r="13" ht="18" customHeight="1" spans="1:32" x14ac:dyDescent="0.25">
      <c r="A13" s="41" t="s">
        <v>174</v>
      </c>
      <c r="B13" s="41"/>
      <c r="C13" s="42">
        <v>318.78</v>
      </c>
      <c r="D13" s="42"/>
      <c r="E13" s="43" t="s">
        <v>175</v>
      </c>
      <c r="F13" s="44"/>
      <c r="G13" s="45">
        <v>340000000</v>
      </c>
      <c r="H13" s="45">
        <v>3370000</v>
      </c>
      <c r="I13" s="45">
        <v>290000</v>
      </c>
      <c r="J13" s="46"/>
      <c r="K13" s="46">
        <v>43525</v>
      </c>
      <c r="L13" s="46">
        <v>46477</v>
      </c>
      <c r="M13" s="44"/>
      <c r="N13" s="44"/>
      <c r="O13" s="44" t="s">
        <v>176</v>
      </c>
      <c r="P13" s="43" t="s">
        <v>177</v>
      </c>
      <c r="Q13" s="47">
        <f>IF(OR($A13="",C13=""),"",AE13/3.305785)</f>
      </c>
      <c r="R13" s="47">
        <f>IF(OR($A13="",D13=""),"",AF13/3.305785)</f>
      </c>
      <c r="S13" s="48">
        <f>IF(OR($A13="",C13="",D13=""),"",IF(C13&gt;0,D13/C13*100,""))</f>
      </c>
      <c r="T13" s="49">
        <f>IF(OR($A13="",O13&lt;&gt;"임대중",F13&lt;&gt;"상가",G13=""),"",G13+H13*100)</f>
      </c>
      <c r="U13" s="50">
        <f>IF(T13="","",IF(T13&lt;=$C$7,"○ 전면적용","× 초과 (5%상한 미적용)"))</f>
      </c>
      <c r="V13" s="50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</c>
      <c r="W13" s="50">
        <f>IF($A13="","",IF(O13="공실","공실",IF(O13="자가사용","자가사용",IF(L13="","만료일 없음",IF(L13&lt;$C$6,"만료 +"&amp;TEXT($C$6-L13,"0")&amp;"일",IF(L13-$C$6&lt;=30,"임박 "&amp;TEXT(L13-$C$6,"0")&amp;"일","유효"))))))</f>
      </c>
      <c r="X13" s="49">
        <f>IF(OR($A13="",O13&lt;&gt;"임대중"),"",IF(H13="",0,H13)+IF(I13="",0,I13))</f>
      </c>
      <c r="Y13" s="49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</c>
      <c r="Z13" s="44"/>
      <c r="AA13" s="51"/>
      <c r="AB13" s="44"/>
      <c r="AC13" s="50">
        <f>IF($A13="","",IF(O13="공실","공실",IF(O13="자가사용","자가사용",IF(L13="","만료일 없음",IF(L13&lt;$C$6,"만료 경과",IF(L13&lt;=EDATE($C$6,12),"12개월 내","12개월 초과"))))))</f>
      </c>
      <c r="AD13" s="50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</c>
      <c r="AE13" s="52">
        <f>IF(OR($A13="",C13=""),"",ROUND(C13*IF($G$9="평",3.305785,1),2))</f>
      </c>
      <c r="AF13" s="52">
        <f>IF(OR($A13="",D13=""),"",ROUND(D13*IF($G$9="평",3.305785,1),2))</f>
      </c>
    </row>
    <row r="14" ht="18" customHeight="1" spans="1:32" x14ac:dyDescent="0.25">
      <c r="A14" s="41" t="s">
        <v>174</v>
      </c>
      <c r="B14" s="41"/>
      <c r="C14" s="42">
        <v>145.79</v>
      </c>
      <c r="D14" s="42"/>
      <c r="E14" s="43" t="s">
        <v>178</v>
      </c>
      <c r="F14" s="44"/>
      <c r="G14" s="45">
        <v>60000000</v>
      </c>
      <c r="H14" s="45">
        <v>880000</v>
      </c>
      <c r="I14" s="45">
        <v>130000</v>
      </c>
      <c r="J14" s="46"/>
      <c r="K14" s="46">
        <v>42156</v>
      </c>
      <c r="L14" s="46">
        <v>46387</v>
      </c>
      <c r="M14" s="44"/>
      <c r="N14" s="44"/>
      <c r="O14" s="44" t="s">
        <v>176</v>
      </c>
      <c r="P14" s="43" t="s">
        <v>179</v>
      </c>
      <c r="Q14" s="47">
        <f>IF(OR($A14="",C14=""),"",AE14/3.305785)</f>
      </c>
      <c r="R14" s="47">
        <f>IF(OR($A14="",D14=""),"",AF14/3.305785)</f>
      </c>
      <c r="S14" s="48">
        <f>IF(OR($A14="",C14="",D14=""),"",IF(C14&gt;0,D14/C14*100,""))</f>
      </c>
      <c r="T14" s="49">
        <f>IF(OR($A14="",O14&lt;&gt;"임대중",F14&lt;&gt;"상가",G14=""),"",G14+H14*100)</f>
      </c>
      <c r="U14" s="50">
        <f>IF(T14="","",IF(T14&lt;=$C$7,"○ 전면적용","× 초과 (5%상한 미적용)"))</f>
      </c>
      <c r="V14" s="50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50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9">
        <f>IF(OR($A14="",O14&lt;&gt;"임대중"),"",IF(H14="",0,H14)+IF(I14="",0,I14))</f>
      </c>
      <c r="Y14" s="49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4"/>
      <c r="AA14" s="51"/>
      <c r="AB14" s="44"/>
      <c r="AC14" s="50">
        <f>IF($A14="","",IF(O14="공실","공실",IF(O14="자가사용","자가사용",IF(L14="","만료일 없음",IF(L14&lt;$C$6,"만료 경과",IF(L14&lt;=EDATE($C$6,12),"12개월 내","12개월 초과"))))))</f>
      </c>
      <c r="AD14" s="50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2">
        <f>IF(OR($A14="",C14=""),"",ROUND(C14*IF($G$9="평",3.305785,1),2))</f>
      </c>
      <c r="AF14" s="52">
        <f>IF(OR($A14="",D14=""),"",ROUND(D14*IF($G$9="평",3.305785,1),2))</f>
      </c>
    </row>
    <row r="15" ht="18" customHeight="1" spans="1:32" x14ac:dyDescent="0.25">
      <c r="A15" s="41" t="s">
        <v>180</v>
      </c>
      <c r="B15" s="41"/>
      <c r="C15" s="42">
        <v>103.7</v>
      </c>
      <c r="D15" s="42"/>
      <c r="E15" s="43" t="s">
        <v>181</v>
      </c>
      <c r="F15" s="44"/>
      <c r="G15" s="45">
        <v>50000000</v>
      </c>
      <c r="H15" s="45">
        <v>4700000</v>
      </c>
      <c r="I15" s="45">
        <v>100000</v>
      </c>
      <c r="J15" s="46"/>
      <c r="K15" s="46">
        <v>44805</v>
      </c>
      <c r="L15" s="46">
        <v>46660</v>
      </c>
      <c r="M15" s="44"/>
      <c r="N15" s="44"/>
      <c r="O15" s="44" t="s">
        <v>176</v>
      </c>
      <c r="P15" s="43" t="s">
        <v>182</v>
      </c>
      <c r="Q15" s="47">
        <f>IF(OR($A15="",C15=""),"",AE15/3.305785)</f>
      </c>
      <c r="R15" s="47">
        <f>IF(OR($A15="",D15=""),"",AF15/3.305785)</f>
      </c>
      <c r="S15" s="48">
        <f>IF(OR($A15="",C15="",D15=""),"",IF(C15&gt;0,D15/C15*100,""))</f>
      </c>
      <c r="T15" s="49">
        <f>IF(OR($A15="",O15&lt;&gt;"임대중",F15&lt;&gt;"상가",G15=""),"",G15+H15*100)</f>
      </c>
      <c r="U15" s="50">
        <f>IF(T15="","",IF(T15&lt;=$C$7,"○ 전면적용","× 초과 (5%상한 미적용)"))</f>
      </c>
      <c r="V15" s="50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50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9">
        <f>IF(OR($A15="",O15&lt;&gt;"임대중"),"",IF(H15="",0,H15)+IF(I15="",0,I15))</f>
      </c>
      <c r="Y15" s="49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4"/>
      <c r="AA15" s="51"/>
      <c r="AB15" s="44"/>
      <c r="AC15" s="50">
        <f>IF($A15="","",IF(O15="공실","공실",IF(O15="자가사용","자가사용",IF(L15="","만료일 없음",IF(L15&lt;$C$6,"만료 경과",IF(L15&lt;=EDATE($C$6,12),"12개월 내","12개월 초과"))))))</f>
      </c>
      <c r="AD15" s="50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2">
        <f>IF(OR($A15="",C15=""),"",ROUND(C15*IF($G$9="평",3.305785,1),2))</f>
      </c>
      <c r="AF15" s="52">
        <f>IF(OR($A15="",D15=""),"",ROUND(D15*IF($G$9="평",3.305785,1),2))</f>
      </c>
    </row>
    <row r="16" ht="18" customHeight="1" spans="1:32" x14ac:dyDescent="0.25">
      <c r="A16" s="41" t="s">
        <v>180</v>
      </c>
      <c r="B16" s="41"/>
      <c r="C16" s="42">
        <v>93.06</v>
      </c>
      <c r="D16" s="42"/>
      <c r="E16" s="43" t="s">
        <v>183</v>
      </c>
      <c r="F16" s="44"/>
      <c r="G16" s="45">
        <v>80000000</v>
      </c>
      <c r="H16" s="45">
        <v>3500000</v>
      </c>
      <c r="I16" s="45">
        <v>80000</v>
      </c>
      <c r="J16" s="46"/>
      <c r="K16" s="46">
        <v>44197</v>
      </c>
      <c r="L16" s="46">
        <v>46387</v>
      </c>
      <c r="M16" s="44"/>
      <c r="N16" s="44"/>
      <c r="O16" s="44" t="s">
        <v>176</v>
      </c>
      <c r="P16" s="43" t="s">
        <v>179</v>
      </c>
      <c r="Q16" s="47">
        <f>IF(OR($A16="",C16=""),"",AE16/3.305785)</f>
      </c>
      <c r="R16" s="47">
        <f>IF(OR($A16="",D16=""),"",AF16/3.305785)</f>
      </c>
      <c r="S16" s="48">
        <f>IF(OR($A16="",C16="",D16=""),"",IF(C16&gt;0,D16/C16*100,""))</f>
      </c>
      <c r="T16" s="49">
        <f>IF(OR($A16="",O16&lt;&gt;"임대중",F16&lt;&gt;"상가",G16=""),"",G16+H16*100)</f>
      </c>
      <c r="U16" s="50">
        <f>IF(T16="","",IF(T16&lt;=$C$7,"○ 전면적용","× 초과 (5%상한 미적용)"))</f>
      </c>
      <c r="V16" s="50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50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9">
        <f>IF(OR($A16="",O16&lt;&gt;"임대중"),"",IF(H16="",0,H16)+IF(I16="",0,I16))</f>
      </c>
      <c r="Y16" s="49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4"/>
      <c r="AA16" s="51"/>
      <c r="AB16" s="44"/>
      <c r="AC16" s="50">
        <f>IF($A16="","",IF(O16="공실","공실",IF(O16="자가사용","자가사용",IF(L16="","만료일 없음",IF(L16&lt;$C$6,"만료 경과",IF(L16&lt;=EDATE($C$6,12),"12개월 내","12개월 초과"))))))</f>
      </c>
      <c r="AD16" s="50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2">
        <f>IF(OR($A16="",C16=""),"",ROUND(C16*IF($G$9="평",3.305785,1),2))</f>
      </c>
      <c r="AF16" s="52">
        <f>IF(OR($A16="",D16=""),"",ROUND(D16*IF($G$9="평",3.305785,1),2))</f>
      </c>
    </row>
    <row r="17" ht="18" customHeight="1" spans="1:32" x14ac:dyDescent="0.25">
      <c r="A17" s="41" t="s">
        <v>180</v>
      </c>
      <c r="B17" s="41"/>
      <c r="C17" s="42">
        <v>32</v>
      </c>
      <c r="D17" s="42"/>
      <c r="E17" s="43" t="s">
        <v>184</v>
      </c>
      <c r="F17" s="44"/>
      <c r="G17" s="45">
        <v>30000000</v>
      </c>
      <c r="H17" s="45">
        <v>1500000</v>
      </c>
      <c r="I17" s="45">
        <v>30000</v>
      </c>
      <c r="J17" s="46"/>
      <c r="K17" s="46">
        <v>44986</v>
      </c>
      <c r="L17" s="46">
        <v>45716</v>
      </c>
      <c r="M17" s="44"/>
      <c r="N17" s="44"/>
      <c r="O17" s="44" t="s">
        <v>176</v>
      </c>
      <c r="P17" s="43" t="s">
        <v>185</v>
      </c>
      <c r="Q17" s="47">
        <f>IF(OR($A17="",C17=""),"",AE17/3.305785)</f>
      </c>
      <c r="R17" s="47">
        <f>IF(OR($A17="",D17=""),"",AF17/3.305785)</f>
      </c>
      <c r="S17" s="48">
        <f>IF(OR($A17="",C17="",D17=""),"",IF(C17&gt;0,D17/C17*100,""))</f>
      </c>
      <c r="T17" s="49">
        <f>IF(OR($A17="",O17&lt;&gt;"임대중",F17&lt;&gt;"상가",G17=""),"",G17+H17*100)</f>
      </c>
      <c r="U17" s="50">
        <f>IF(T17="","",IF(T17&lt;=$C$7,"○ 전면적용","× 초과 (5%상한 미적용)"))</f>
      </c>
      <c r="V17" s="50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50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9">
        <f>IF(OR($A17="",O17&lt;&gt;"임대중"),"",IF(H17="",0,H17)+IF(I17="",0,I17))</f>
      </c>
      <c r="Y17" s="49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4"/>
      <c r="AA17" s="51"/>
      <c r="AB17" s="44"/>
      <c r="AC17" s="50">
        <f>IF($A17="","",IF(O17="공실","공실",IF(O17="자가사용","자가사용",IF(L17="","만료일 없음",IF(L17&lt;$C$6,"만료 경과",IF(L17&lt;=EDATE($C$6,12),"12개월 내","12개월 초과"))))))</f>
      </c>
      <c r="AD17" s="50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2">
        <f>IF(OR($A17="",C17=""),"",ROUND(C17*IF($G$9="평",3.305785,1),2))</f>
      </c>
      <c r="AF17" s="52">
        <f>IF(OR($A17="",D17=""),"",ROUND(D17*IF($G$9="평",3.305785,1),2))</f>
      </c>
    </row>
    <row r="18" ht="18" customHeight="1" spans="1:32" x14ac:dyDescent="0.25">
      <c r="A18" s="41" t="s">
        <v>186</v>
      </c>
      <c r="B18" s="41"/>
      <c r="C18" s="42">
        <v>266.38</v>
      </c>
      <c r="D18" s="42"/>
      <c r="E18" s="43" t="s">
        <v>187</v>
      </c>
      <c r="F18" s="44"/>
      <c r="G18" s="45">
        <v>150000000</v>
      </c>
      <c r="H18" s="45">
        <v>5000000</v>
      </c>
      <c r="I18" s="45">
        <v>240000</v>
      </c>
      <c r="J18" s="46"/>
      <c r="K18" s="46">
        <v>43952</v>
      </c>
      <c r="L18" s="46">
        <v>46142</v>
      </c>
      <c r="M18" s="44"/>
      <c r="N18" s="44"/>
      <c r="O18" s="44" t="s">
        <v>176</v>
      </c>
      <c r="P18" s="43"/>
      <c r="Q18" s="47">
        <f>IF(OR($A18="",C18=""),"",AE18/3.305785)</f>
      </c>
      <c r="R18" s="47">
        <f>IF(OR($A18="",D18=""),"",AF18/3.305785)</f>
      </c>
      <c r="S18" s="48">
        <f>IF(OR($A18="",C18="",D18=""),"",IF(C18&gt;0,D18/C18*100,""))</f>
      </c>
      <c r="T18" s="49">
        <f>IF(OR($A18="",O18&lt;&gt;"임대중",F18&lt;&gt;"상가",G18=""),"",G18+H18*100)</f>
      </c>
      <c r="U18" s="50">
        <f>IF(T18="","",IF(T18&lt;=$C$7,"○ 전면적용","× 초과 (5%상한 미적용)"))</f>
      </c>
      <c r="V18" s="50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50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9">
        <f>IF(OR($A18="",O18&lt;&gt;"임대중"),"",IF(H18="",0,H18)+IF(I18="",0,I18))</f>
      </c>
      <c r="Y18" s="49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4"/>
      <c r="AA18" s="51"/>
      <c r="AB18" s="44"/>
      <c r="AC18" s="50">
        <f>IF($A18="","",IF(O18="공실","공실",IF(O18="자가사용","자가사용",IF(L18="","만료일 없음",IF(L18&lt;$C$6,"만료 경과",IF(L18&lt;=EDATE($C$6,12),"12개월 내","12개월 초과"))))))</f>
      </c>
      <c r="AD18" s="50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2">
        <f>IF(OR($A18="",C18=""),"",ROUND(C18*IF($G$9="평",3.305785,1),2))</f>
      </c>
      <c r="AF18" s="52">
        <f>IF(OR($A18="",D18=""),"",ROUND(D18*IF($G$9="평",3.305785,1),2))</f>
      </c>
    </row>
    <row r="19" ht="18" customHeight="1" spans="1:32" x14ac:dyDescent="0.25">
      <c r="A19" s="41" t="s">
        <v>188</v>
      </c>
      <c r="B19" s="41"/>
      <c r="C19" s="42">
        <v>135.6</v>
      </c>
      <c r="D19" s="42"/>
      <c r="E19" s="43" t="s">
        <v>189</v>
      </c>
      <c r="F19" s="44"/>
      <c r="G19" s="45">
        <v>50000000</v>
      </c>
      <c r="H19" s="45">
        <v>2500000</v>
      </c>
      <c r="I19" s="45">
        <v>120000</v>
      </c>
      <c r="J19" s="46"/>
      <c r="K19" s="46"/>
      <c r="L19" s="46"/>
      <c r="M19" s="44"/>
      <c r="N19" s="44"/>
      <c r="O19" s="44" t="s">
        <v>176</v>
      </c>
      <c r="P19" s="43"/>
      <c r="Q19" s="47">
        <f>IF(OR($A19="",C19=""),"",AE19/3.305785)</f>
      </c>
      <c r="R19" s="47">
        <f>IF(OR($A19="",D19=""),"",AF19/3.305785)</f>
      </c>
      <c r="S19" s="48">
        <f>IF(OR($A19="",C19="",D19=""),"",IF(C19&gt;0,D19/C19*100,""))</f>
      </c>
      <c r="T19" s="49">
        <f>IF(OR($A19="",O19&lt;&gt;"임대중",F19&lt;&gt;"상가",G19=""),"",G19+H19*100)</f>
      </c>
      <c r="U19" s="50">
        <f>IF(T19="","",IF(T19&lt;=$C$7,"○ 전면적용","× 초과 (5%상한 미적용)"))</f>
      </c>
      <c r="V19" s="50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50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9">
        <f>IF(OR($A19="",O19&lt;&gt;"임대중"),"",IF(H19="",0,H19)+IF(I19="",0,I19))</f>
      </c>
      <c r="Y19" s="49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4"/>
      <c r="AA19" s="51"/>
      <c r="AB19" s="44"/>
      <c r="AC19" s="50">
        <f>IF($A19="","",IF(O19="공실","공실",IF(O19="자가사용","자가사용",IF(L19="","만료일 없음",IF(L19&lt;$C$6,"만료 경과",IF(L19&lt;=EDATE($C$6,12),"12개월 내","12개월 초과"))))))</f>
      </c>
      <c r="AD19" s="50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2">
        <f>IF(OR($A19="",C19=""),"",ROUND(C19*IF($G$9="평",3.305785,1),2))</f>
      </c>
      <c r="AF19" s="52">
        <f>IF(OR($A19="",D19=""),"",ROUND(D19*IF($G$9="평",3.305785,1),2))</f>
      </c>
    </row>
    <row r="20" ht="18" customHeight="1" spans="1:32" x14ac:dyDescent="0.25">
      <c r="A20" s="41" t="s">
        <v>190</v>
      </c>
      <c r="B20" s="41"/>
      <c r="C20" s="42">
        <v>130.74</v>
      </c>
      <c r="D20" s="42"/>
      <c r="E20" s="43" t="s">
        <v>191</v>
      </c>
      <c r="F20" s="44"/>
      <c r="G20" s="45">
        <v>70000000</v>
      </c>
      <c r="H20" s="45">
        <v>3000000</v>
      </c>
      <c r="I20" s="45">
        <v>120000</v>
      </c>
      <c r="J20" s="46"/>
      <c r="K20" s="46"/>
      <c r="L20" s="46"/>
      <c r="M20" s="44"/>
      <c r="N20" s="44"/>
      <c r="O20" s="44" t="s">
        <v>176</v>
      </c>
      <c r="P20" s="43"/>
      <c r="Q20" s="47">
        <f>IF(OR($A20="",C20=""),"",AE20/3.305785)</f>
      </c>
      <c r="R20" s="47">
        <f>IF(OR($A20="",D20=""),"",AF20/3.305785)</f>
      </c>
      <c r="S20" s="48">
        <f>IF(OR($A20="",C20="",D20=""),"",IF(C20&gt;0,D20/C20*100,""))</f>
      </c>
      <c r="T20" s="49">
        <f>IF(OR($A20="",O20&lt;&gt;"임대중",F20&lt;&gt;"상가",G20=""),"",G20+H20*100)</f>
      </c>
      <c r="U20" s="50">
        <f>IF(T20="","",IF(T20&lt;=$C$7,"○ 전면적용","× 초과 (5%상한 미적용)"))</f>
      </c>
      <c r="V20" s="50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50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9">
        <f>IF(OR($A20="",O20&lt;&gt;"임대중"),"",IF(H20="",0,H20)+IF(I20="",0,I20))</f>
      </c>
      <c r="Y20" s="49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4"/>
      <c r="AA20" s="51"/>
      <c r="AB20" s="44"/>
      <c r="AC20" s="50">
        <f>IF($A20="","",IF(O20="공실","공실",IF(O20="자가사용","자가사용",IF(L20="","만료일 없음",IF(L20&lt;$C$6,"만료 경과",IF(L20&lt;=EDATE($C$6,12),"12개월 내","12개월 초과"))))))</f>
      </c>
      <c r="AD20" s="50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2">
        <f>IF(OR($A20="",C20=""),"",ROUND(C20*IF($G$9="평",3.305785,1),2))</f>
      </c>
      <c r="AF20" s="52">
        <f>IF(OR($A20="",D20=""),"",ROUND(D20*IF($G$9="평",3.305785,1),2))</f>
      </c>
    </row>
    <row r="21" ht="18" customHeight="1" spans="1:32" x14ac:dyDescent="0.25">
      <c r="A21" s="41" t="s">
        <v>192</v>
      </c>
      <c r="B21" s="41"/>
      <c r="C21" s="42">
        <v>266.38</v>
      </c>
      <c r="D21" s="42"/>
      <c r="E21" s="43" t="s">
        <v>189</v>
      </c>
      <c r="F21" s="44"/>
      <c r="G21" s="45">
        <v>100000000</v>
      </c>
      <c r="H21" s="45">
        <v>4000000</v>
      </c>
      <c r="I21" s="45">
        <v>240000</v>
      </c>
      <c r="J21" s="46"/>
      <c r="K21" s="46"/>
      <c r="L21" s="46"/>
      <c r="M21" s="44"/>
      <c r="N21" s="44"/>
      <c r="O21" s="44" t="s">
        <v>176</v>
      </c>
      <c r="P21" s="43"/>
      <c r="Q21" s="47">
        <f>IF(OR($A21="",C21=""),"",AE21/3.305785)</f>
      </c>
      <c r="R21" s="47">
        <f>IF(OR($A21="",D21=""),"",AF21/3.305785)</f>
      </c>
      <c r="S21" s="48">
        <f>IF(OR($A21="",C21="",D21=""),"",IF(C21&gt;0,D21/C21*100,""))</f>
      </c>
      <c r="T21" s="49">
        <f>IF(OR($A21="",O21&lt;&gt;"임대중",F21&lt;&gt;"상가",G21=""),"",G21+H21*100)</f>
      </c>
      <c r="U21" s="50">
        <f>IF(T21="","",IF(T21&lt;=$C$7,"○ 전면적용","× 초과 (5%상한 미적용)"))</f>
      </c>
      <c r="V21" s="50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50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9">
        <f>IF(OR($A21="",O21&lt;&gt;"임대중"),"",IF(H21="",0,H21)+IF(I21="",0,I21))</f>
      </c>
      <c r="Y21" s="49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4"/>
      <c r="AA21" s="51"/>
      <c r="AB21" s="44"/>
      <c r="AC21" s="50">
        <f>IF($A21="","",IF(O21="공실","공실",IF(O21="자가사용","자가사용",IF(L21="","만료일 없음",IF(L21&lt;$C$6,"만료 경과",IF(L21&lt;=EDATE($C$6,12),"12개월 내","12개월 초과"))))))</f>
      </c>
      <c r="AD21" s="50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2">
        <f>IF(OR($A21="",C21=""),"",ROUND(C21*IF($G$9="평",3.305785,1),2))</f>
      </c>
      <c r="AF21" s="52">
        <f>IF(OR($A21="",D21=""),"",ROUND(D21*IF($G$9="평",3.305785,1),2))</f>
      </c>
    </row>
    <row r="22" ht="18" customHeight="1" spans="1:32" x14ac:dyDescent="0.25">
      <c r="A22" s="41" t="s">
        <v>193</v>
      </c>
      <c r="B22" s="41"/>
      <c r="C22" s="42">
        <v>135.74</v>
      </c>
      <c r="D22" s="42"/>
      <c r="E22" s="43" t="s">
        <v>194</v>
      </c>
      <c r="F22" s="44"/>
      <c r="G22" s="45">
        <v>50000000</v>
      </c>
      <c r="H22" s="45">
        <v>2500000</v>
      </c>
      <c r="I22" s="45">
        <v>120000</v>
      </c>
      <c r="J22" s="46"/>
      <c r="K22" s="46"/>
      <c r="L22" s="46"/>
      <c r="M22" s="44"/>
      <c r="N22" s="44"/>
      <c r="O22" s="44" t="s">
        <v>176</v>
      </c>
      <c r="P22" s="43"/>
      <c r="Q22" s="47">
        <f>IF(OR($A22="",C22=""),"",AE22/3.305785)</f>
      </c>
      <c r="R22" s="47">
        <f>IF(OR($A22="",D22=""),"",AF22/3.305785)</f>
      </c>
      <c r="S22" s="48">
        <f>IF(OR($A22="",C22="",D22=""),"",IF(C22&gt;0,D22/C22*100,""))</f>
      </c>
      <c r="T22" s="49">
        <f>IF(OR($A22="",O22&lt;&gt;"임대중",F22&lt;&gt;"상가",G22=""),"",G22+H22*100)</f>
      </c>
      <c r="U22" s="50">
        <f>IF(T22="","",IF(T22&lt;=$C$7,"○ 전면적용","× 초과 (5%상한 미적용)"))</f>
      </c>
      <c r="V22" s="50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50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9">
        <f>IF(OR($A22="",O22&lt;&gt;"임대중"),"",IF(H22="",0,H22)+IF(I22="",0,I22))</f>
      </c>
      <c r="Y22" s="49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4"/>
      <c r="AA22" s="51"/>
      <c r="AB22" s="44"/>
      <c r="AC22" s="50">
        <f>IF($A22="","",IF(O22="공실","공실",IF(O22="자가사용","자가사용",IF(L22="","만료일 없음",IF(L22&lt;$C$6,"만료 경과",IF(L22&lt;=EDATE($C$6,12),"12개월 내","12개월 초과"))))))</f>
      </c>
      <c r="AD22" s="50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2">
        <f>IF(OR($A22="",C22=""),"",ROUND(C22*IF($G$9="평",3.305785,1),2))</f>
      </c>
      <c r="AF22" s="52">
        <f>IF(OR($A22="",D22=""),"",ROUND(D22*IF($G$9="평",3.305785,1),2))</f>
      </c>
    </row>
    <row r="23" ht="18" customHeight="1" spans="1:32" x14ac:dyDescent="0.25">
      <c r="A23" s="41" t="s">
        <v>195</v>
      </c>
      <c r="B23" s="41"/>
      <c r="C23" s="42">
        <v>130.64</v>
      </c>
      <c r="D23" s="42"/>
      <c r="E23" s="43" t="s">
        <v>194</v>
      </c>
      <c r="F23" s="44"/>
      <c r="G23" s="45">
        <v>50000000</v>
      </c>
      <c r="H23" s="45">
        <v>2400000</v>
      </c>
      <c r="I23" s="45">
        <v>120000</v>
      </c>
      <c r="J23" s="46"/>
      <c r="K23" s="46"/>
      <c r="L23" s="46"/>
      <c r="M23" s="44"/>
      <c r="N23" s="44"/>
      <c r="O23" s="44" t="s">
        <v>176</v>
      </c>
      <c r="P23" s="43"/>
      <c r="Q23" s="47">
        <f>IF(OR($A23="",C23=""),"",AE23/3.305785)</f>
      </c>
      <c r="R23" s="47">
        <f>IF(OR($A23="",D23=""),"",AF23/3.305785)</f>
      </c>
      <c r="S23" s="48">
        <f>IF(OR($A23="",C23="",D23=""),"",IF(C23&gt;0,D23/C23*100,""))</f>
      </c>
      <c r="T23" s="49">
        <f>IF(OR($A23="",O23&lt;&gt;"임대중",F23&lt;&gt;"상가",G23=""),"",G23+H23*100)</f>
      </c>
      <c r="U23" s="50">
        <f>IF(T23="","",IF(T23&lt;=$C$7,"○ 전면적용","× 초과 (5%상한 미적용)"))</f>
      </c>
      <c r="V23" s="50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50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9">
        <f>IF(OR($A23="",O23&lt;&gt;"임대중"),"",IF(H23="",0,H23)+IF(I23="",0,I23))</f>
      </c>
      <c r="Y23" s="49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4"/>
      <c r="AA23" s="51"/>
      <c r="AB23" s="44"/>
      <c r="AC23" s="50">
        <f>IF($A23="","",IF(O23="공실","공실",IF(O23="자가사용","자가사용",IF(L23="","만료일 없음",IF(L23&lt;$C$6,"만료 경과",IF(L23&lt;=EDATE($C$6,12),"12개월 내","12개월 초과"))))))</f>
      </c>
      <c r="AD23" s="50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2">
        <f>IF(OR($A23="",C23=""),"",ROUND(C23*IF($G$9="평",3.305785,1),2))</f>
      </c>
      <c r="AF23" s="52">
        <f>IF(OR($A23="",D23=""),"",ROUND(D23*IF($G$9="평",3.305785,1),2))</f>
      </c>
    </row>
    <row r="24" ht="18" customHeight="1" spans="1:32" x14ac:dyDescent="0.25">
      <c r="A24" s="41"/>
      <c r="B24" s="41"/>
      <c r="C24" s="42"/>
      <c r="D24" s="42"/>
      <c r="E24" s="43"/>
      <c r="F24" s="44"/>
      <c r="G24" s="45"/>
      <c r="H24" s="45"/>
      <c r="I24" s="45"/>
      <c r="J24" s="46"/>
      <c r="K24" s="46"/>
      <c r="L24" s="46"/>
      <c r="M24" s="44"/>
      <c r="N24" s="44"/>
      <c r="O24" s="44"/>
      <c r="P24" s="43"/>
      <c r="Q24" s="47">
        <f>IF(OR($A24="",C24=""),"",AE24/3.305785)</f>
      </c>
      <c r="R24" s="47">
        <f>IF(OR($A24="",D24=""),"",AF24/3.305785)</f>
      </c>
      <c r="S24" s="48">
        <f>IF(OR($A24="",C24="",D24=""),"",IF(C24&gt;0,D24/C24*100,""))</f>
      </c>
      <c r="T24" s="49">
        <f>IF(OR($A24="",O24&lt;&gt;"임대중",F24&lt;&gt;"상가",G24=""),"",G24+H24*100)</f>
      </c>
      <c r="U24" s="50">
        <f>IF(T24="","",IF(T24&lt;=$C$7,"○ 전면적용","× 초과 (5%상한 미적용)"))</f>
      </c>
      <c r="V24" s="50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50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9">
        <f>IF(OR($A24="",O24&lt;&gt;"임대중"),"",IF(H24="",0,H24)+IF(I24="",0,I24))</f>
      </c>
      <c r="Y24" s="49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4"/>
      <c r="AA24" s="51"/>
      <c r="AB24" s="44"/>
      <c r="AC24" s="50">
        <f>IF($A24="","",IF(O24="공실","공실",IF(O24="자가사용","자가사용",IF(L24="","만료일 없음",IF(L24&lt;$C$6,"만료 경과",IF(L24&lt;=EDATE($C$6,12),"12개월 내","12개월 초과"))))))</f>
      </c>
      <c r="AD24" s="50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2">
        <f>IF(OR($A24="",C24=""),"",ROUND(C24*IF($G$9="평",3.305785,1),2))</f>
      </c>
      <c r="AF24" s="52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4"/>
      <c r="G25" s="45"/>
      <c r="H25" s="45"/>
      <c r="I25" s="45"/>
      <c r="J25" s="46"/>
      <c r="K25" s="46"/>
      <c r="L25" s="46"/>
      <c r="M25" s="44"/>
      <c r="N25" s="44"/>
      <c r="O25" s="44"/>
      <c r="P25" s="43"/>
      <c r="Q25" s="47">
        <f>IF(OR($A25="",C25=""),"",AE25/3.305785)</f>
      </c>
      <c r="R25" s="47">
        <f>IF(OR($A25="",D25=""),"",AF25/3.305785)</f>
      </c>
      <c r="S25" s="48">
        <f>IF(OR($A25="",C25="",D25=""),"",IF(C25&gt;0,D25/C25*100,""))</f>
      </c>
      <c r="T25" s="49">
        <f>IF(OR($A25="",O25&lt;&gt;"임대중",F25&lt;&gt;"상가",G25=""),"",G25+H25*100)</f>
      </c>
      <c r="U25" s="50">
        <f>IF(T25="","",IF(T25&lt;=$C$7,"○ 전면적용","× 초과 (5%상한 미적용)"))</f>
      </c>
      <c r="V25" s="50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50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9">
        <f>IF(OR($A25="",O25&lt;&gt;"임대중"),"",IF(H25="",0,H25)+IF(I25="",0,I25))</f>
      </c>
      <c r="Y25" s="49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4"/>
      <c r="AA25" s="51"/>
      <c r="AB25" s="44"/>
      <c r="AC25" s="50">
        <f>IF($A25="","",IF(O25="공실","공실",IF(O25="자가사용","자가사용",IF(L25="","만료일 없음",IF(L25&lt;$C$6,"만료 경과",IF(L25&lt;=EDATE($C$6,12),"12개월 내","12개월 초과"))))))</f>
      </c>
      <c r="AD25" s="50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2">
        <f>IF(OR($A25="",C25=""),"",ROUND(C25*IF($G$9="평",3.305785,1),2))</f>
      </c>
      <c r="AF25" s="52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4"/>
      <c r="G26" s="45"/>
      <c r="H26" s="45"/>
      <c r="I26" s="45"/>
      <c r="J26" s="46"/>
      <c r="K26" s="46"/>
      <c r="L26" s="46"/>
      <c r="M26" s="44"/>
      <c r="N26" s="44"/>
      <c r="O26" s="44"/>
      <c r="P26" s="43"/>
      <c r="Q26" s="47">
        <f>IF(OR($A26="",C26=""),"",AE26/3.305785)</f>
      </c>
      <c r="R26" s="47">
        <f>IF(OR($A26="",D26=""),"",AF26/3.305785)</f>
      </c>
      <c r="S26" s="48">
        <f>IF(OR($A26="",C26="",D26=""),"",IF(C26&gt;0,D26/C26*100,""))</f>
      </c>
      <c r="T26" s="49">
        <f>IF(OR($A26="",O26&lt;&gt;"임대중",F26&lt;&gt;"상가",G26=""),"",G26+H26*100)</f>
      </c>
      <c r="U26" s="50">
        <f>IF(T26="","",IF(T26&lt;=$C$7,"○ 전면적용","× 초과 (5%상한 미적용)"))</f>
      </c>
      <c r="V26" s="50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50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9">
        <f>IF(OR($A26="",O26&lt;&gt;"임대중"),"",IF(H26="",0,H26)+IF(I26="",0,I26))</f>
      </c>
      <c r="Y26" s="49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4"/>
      <c r="AA26" s="51"/>
      <c r="AB26" s="44"/>
      <c r="AC26" s="50">
        <f>IF($A26="","",IF(O26="공실","공실",IF(O26="자가사용","자가사용",IF(L26="","만료일 없음",IF(L26&lt;$C$6,"만료 경과",IF(L26&lt;=EDATE($C$6,12),"12개월 내","12개월 초과"))))))</f>
      </c>
      <c r="AD26" s="50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2">
        <f>IF(OR($A26="",C26=""),"",ROUND(C26*IF($G$9="평",3.305785,1),2))</f>
      </c>
      <c r="AF26" s="52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4"/>
      <c r="G27" s="45"/>
      <c r="H27" s="45"/>
      <c r="I27" s="45"/>
      <c r="J27" s="46"/>
      <c r="K27" s="46"/>
      <c r="L27" s="46"/>
      <c r="M27" s="44"/>
      <c r="N27" s="44"/>
      <c r="O27" s="44"/>
      <c r="P27" s="43"/>
      <c r="Q27" s="47">
        <f>IF(OR($A27="",C27=""),"",AE27/3.305785)</f>
      </c>
      <c r="R27" s="47">
        <f>IF(OR($A27="",D27=""),"",AF27/3.305785)</f>
      </c>
      <c r="S27" s="48">
        <f>IF(OR($A27="",C27="",D27=""),"",IF(C27&gt;0,D27/C27*100,""))</f>
      </c>
      <c r="T27" s="49">
        <f>IF(OR($A27="",O27&lt;&gt;"임대중",F27&lt;&gt;"상가",G27=""),"",G27+H27*100)</f>
      </c>
      <c r="U27" s="50">
        <f>IF(T27="","",IF(T27&lt;=$C$7,"○ 전면적용","× 초과 (5%상한 미적용)"))</f>
      </c>
      <c r="V27" s="50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50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9">
        <f>IF(OR($A27="",O27&lt;&gt;"임대중"),"",IF(H27="",0,H27)+IF(I27="",0,I27))</f>
      </c>
      <c r="Y27" s="49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4"/>
      <c r="AA27" s="51"/>
      <c r="AB27" s="44"/>
      <c r="AC27" s="50">
        <f>IF($A27="","",IF(O27="공실","공실",IF(O27="자가사용","자가사용",IF(L27="","만료일 없음",IF(L27&lt;$C$6,"만료 경과",IF(L27&lt;=EDATE($C$6,12),"12개월 내","12개월 초과"))))))</f>
      </c>
      <c r="AD27" s="50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2">
        <f>IF(OR($A27="",C27=""),"",ROUND(C27*IF($G$9="평",3.305785,1),2))</f>
      </c>
      <c r="AF27" s="52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4"/>
      <c r="G28" s="45"/>
      <c r="H28" s="45"/>
      <c r="I28" s="45"/>
      <c r="J28" s="46"/>
      <c r="K28" s="46"/>
      <c r="L28" s="46"/>
      <c r="M28" s="44"/>
      <c r="N28" s="44"/>
      <c r="O28" s="44"/>
      <c r="P28" s="43"/>
      <c r="Q28" s="47">
        <f>IF(OR($A28="",C28=""),"",AE28/3.305785)</f>
      </c>
      <c r="R28" s="47">
        <f>IF(OR($A28="",D28=""),"",AF28/3.305785)</f>
      </c>
      <c r="S28" s="48">
        <f>IF(OR($A28="",C28="",D28=""),"",IF(C28&gt;0,D28/C28*100,""))</f>
      </c>
      <c r="T28" s="49">
        <f>IF(OR($A28="",O28&lt;&gt;"임대중",F28&lt;&gt;"상가",G28=""),"",G28+H28*100)</f>
      </c>
      <c r="U28" s="50">
        <f>IF(T28="","",IF(T28&lt;=$C$7,"○ 전면적용","× 초과 (5%상한 미적용)"))</f>
      </c>
      <c r="V28" s="50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50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9">
        <f>IF(OR($A28="",O28&lt;&gt;"임대중"),"",IF(H28="",0,H28)+IF(I28="",0,I28))</f>
      </c>
      <c r="Y28" s="49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4"/>
      <c r="AA28" s="51"/>
      <c r="AB28" s="44"/>
      <c r="AC28" s="50">
        <f>IF($A28="","",IF(O28="공실","공실",IF(O28="자가사용","자가사용",IF(L28="","만료일 없음",IF(L28&lt;$C$6,"만료 경과",IF(L28&lt;=EDATE($C$6,12),"12개월 내","12개월 초과"))))))</f>
      </c>
      <c r="AD28" s="50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2">
        <f>IF(OR($A28="",C28=""),"",ROUND(C28*IF($G$9="평",3.305785,1),2))</f>
      </c>
      <c r="AF28" s="52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4"/>
      <c r="G29" s="45"/>
      <c r="H29" s="45"/>
      <c r="I29" s="45"/>
      <c r="J29" s="46"/>
      <c r="K29" s="46"/>
      <c r="L29" s="46"/>
      <c r="M29" s="44"/>
      <c r="N29" s="44"/>
      <c r="O29" s="44"/>
      <c r="P29" s="43"/>
      <c r="Q29" s="47">
        <f>IF(OR($A29="",C29=""),"",AE29/3.305785)</f>
      </c>
      <c r="R29" s="47">
        <f>IF(OR($A29="",D29=""),"",AF29/3.305785)</f>
      </c>
      <c r="S29" s="48">
        <f>IF(OR($A29="",C29="",D29=""),"",IF(C29&gt;0,D29/C29*100,""))</f>
      </c>
      <c r="T29" s="49">
        <f>IF(OR($A29="",O29&lt;&gt;"임대중",F29&lt;&gt;"상가",G29=""),"",G29+H29*100)</f>
      </c>
      <c r="U29" s="50">
        <f>IF(T29="","",IF(T29&lt;=$C$7,"○ 전면적용","× 초과 (5%상한 미적용)"))</f>
      </c>
      <c r="V29" s="50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50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9">
        <f>IF(OR($A29="",O29&lt;&gt;"임대중"),"",IF(H29="",0,H29)+IF(I29="",0,I29))</f>
      </c>
      <c r="Y29" s="49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4"/>
      <c r="AA29" s="51"/>
      <c r="AB29" s="44"/>
      <c r="AC29" s="50">
        <f>IF($A29="","",IF(O29="공실","공실",IF(O29="자가사용","자가사용",IF(L29="","만료일 없음",IF(L29&lt;$C$6,"만료 경과",IF(L29&lt;=EDATE($C$6,12),"12개월 내","12개월 초과"))))))</f>
      </c>
      <c r="AD29" s="50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2">
        <f>IF(OR($A29="",C29=""),"",ROUND(C29*IF($G$9="평",3.305785,1),2))</f>
      </c>
      <c r="AF29" s="52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4"/>
      <c r="G30" s="45"/>
      <c r="H30" s="45"/>
      <c r="I30" s="45"/>
      <c r="J30" s="46"/>
      <c r="K30" s="46"/>
      <c r="L30" s="46"/>
      <c r="M30" s="44"/>
      <c r="N30" s="44"/>
      <c r="O30" s="44"/>
      <c r="P30" s="43"/>
      <c r="Q30" s="47">
        <f>IF(OR($A30="",C30=""),"",AE30/3.305785)</f>
      </c>
      <c r="R30" s="47">
        <f>IF(OR($A30="",D30=""),"",AF30/3.305785)</f>
      </c>
      <c r="S30" s="48">
        <f>IF(OR($A30="",C30="",D30=""),"",IF(C30&gt;0,D30/C30*100,""))</f>
      </c>
      <c r="T30" s="49">
        <f>IF(OR($A30="",O30&lt;&gt;"임대중",F30&lt;&gt;"상가",G30=""),"",G30+H30*100)</f>
      </c>
      <c r="U30" s="50">
        <f>IF(T30="","",IF(T30&lt;=$C$7,"○ 전면적용","× 초과 (5%상한 미적용)"))</f>
      </c>
      <c r="V30" s="50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50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9">
        <f>IF(OR($A30="",O30&lt;&gt;"임대중"),"",IF(H30="",0,H30)+IF(I30="",0,I30))</f>
      </c>
      <c r="Y30" s="49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4"/>
      <c r="AA30" s="51"/>
      <c r="AB30" s="44"/>
      <c r="AC30" s="50">
        <f>IF($A30="","",IF(O30="공실","공실",IF(O30="자가사용","자가사용",IF(L30="","만료일 없음",IF(L30&lt;$C$6,"만료 경과",IF(L30&lt;=EDATE($C$6,12),"12개월 내","12개월 초과"))))))</f>
      </c>
      <c r="AD30" s="50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2">
        <f>IF(OR($A30="",C30=""),"",ROUND(C30*IF($G$9="평",3.305785,1),2))</f>
      </c>
      <c r="AF30" s="52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4"/>
      <c r="G31" s="45"/>
      <c r="H31" s="45"/>
      <c r="I31" s="45"/>
      <c r="J31" s="46"/>
      <c r="K31" s="46"/>
      <c r="L31" s="46"/>
      <c r="M31" s="44"/>
      <c r="N31" s="44"/>
      <c r="O31" s="44"/>
      <c r="P31" s="43"/>
      <c r="Q31" s="47">
        <f>IF(OR($A31="",C31=""),"",AE31/3.305785)</f>
      </c>
      <c r="R31" s="47">
        <f>IF(OR($A31="",D31=""),"",AF31/3.305785)</f>
      </c>
      <c r="S31" s="48">
        <f>IF(OR($A31="",C31="",D31=""),"",IF(C31&gt;0,D31/C31*100,""))</f>
      </c>
      <c r="T31" s="49">
        <f>IF(OR($A31="",O31&lt;&gt;"임대중",F31&lt;&gt;"상가",G31=""),"",G31+H31*100)</f>
      </c>
      <c r="U31" s="50">
        <f>IF(T31="","",IF(T31&lt;=$C$7,"○ 전면적용","× 초과 (5%상한 미적용)"))</f>
      </c>
      <c r="V31" s="50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50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9">
        <f>IF(OR($A31="",O31&lt;&gt;"임대중"),"",IF(H31="",0,H31)+IF(I31="",0,I31))</f>
      </c>
      <c r="Y31" s="49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4"/>
      <c r="AA31" s="51"/>
      <c r="AB31" s="44"/>
      <c r="AC31" s="50">
        <f>IF($A31="","",IF(O31="공실","공실",IF(O31="자가사용","자가사용",IF(L31="","만료일 없음",IF(L31&lt;$C$6,"만료 경과",IF(L31&lt;=EDATE($C$6,12),"12개월 내","12개월 초과"))))))</f>
      </c>
      <c r="AD31" s="50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2">
        <f>IF(OR($A31="",C31=""),"",ROUND(C31*IF($G$9="평",3.305785,1),2))</f>
      </c>
      <c r="AF31" s="52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4"/>
      <c r="G32" s="45"/>
      <c r="H32" s="45"/>
      <c r="I32" s="45"/>
      <c r="J32" s="46"/>
      <c r="K32" s="46"/>
      <c r="L32" s="46"/>
      <c r="M32" s="44"/>
      <c r="N32" s="44"/>
      <c r="O32" s="44"/>
      <c r="P32" s="43"/>
      <c r="Q32" s="47">
        <f>IF(OR($A32="",C32=""),"",AE32/3.305785)</f>
      </c>
      <c r="R32" s="47">
        <f>IF(OR($A32="",D32=""),"",AF32/3.305785)</f>
      </c>
      <c r="S32" s="48">
        <f>IF(OR($A32="",C32="",D32=""),"",IF(C32&gt;0,D32/C32*100,""))</f>
      </c>
      <c r="T32" s="49">
        <f>IF(OR($A32="",O32&lt;&gt;"임대중",F32&lt;&gt;"상가",G32=""),"",G32+H32*100)</f>
      </c>
      <c r="U32" s="50">
        <f>IF(T32="","",IF(T32&lt;=$C$7,"○ 전면적용","× 초과 (5%상한 미적용)"))</f>
      </c>
      <c r="V32" s="50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50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9">
        <f>IF(OR($A32="",O32&lt;&gt;"임대중"),"",IF(H32="",0,H32)+IF(I32="",0,I32))</f>
      </c>
      <c r="Y32" s="49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4"/>
      <c r="AA32" s="51"/>
      <c r="AB32" s="44"/>
      <c r="AC32" s="50">
        <f>IF($A32="","",IF(O32="공실","공실",IF(O32="자가사용","자가사용",IF(L32="","만료일 없음",IF(L32&lt;$C$6,"만료 경과",IF(L32&lt;=EDATE($C$6,12),"12개월 내","12개월 초과"))))))</f>
      </c>
      <c r="AD32" s="50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2">
        <f>IF(OR($A32="",C32=""),"",ROUND(C32*IF($G$9="평",3.305785,1),2))</f>
      </c>
      <c r="AF32" s="52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4"/>
      <c r="G33" s="45"/>
      <c r="H33" s="45"/>
      <c r="I33" s="45"/>
      <c r="J33" s="46"/>
      <c r="K33" s="46"/>
      <c r="L33" s="46"/>
      <c r="M33" s="44"/>
      <c r="N33" s="44"/>
      <c r="O33" s="44"/>
      <c r="P33" s="43"/>
      <c r="Q33" s="47">
        <f>IF(OR($A33="",C33=""),"",AE33/3.305785)</f>
      </c>
      <c r="R33" s="47">
        <f>IF(OR($A33="",D33=""),"",AF33/3.305785)</f>
      </c>
      <c r="S33" s="48">
        <f>IF(OR($A33="",C33="",D33=""),"",IF(C33&gt;0,D33/C33*100,""))</f>
      </c>
      <c r="T33" s="49">
        <f>IF(OR($A33="",O33&lt;&gt;"임대중",F33&lt;&gt;"상가",G33=""),"",G33+H33*100)</f>
      </c>
      <c r="U33" s="50">
        <f>IF(T33="","",IF(T33&lt;=$C$7,"○ 전면적용","× 초과 (5%상한 미적용)"))</f>
      </c>
      <c r="V33" s="50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50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9">
        <f>IF(OR($A33="",O33&lt;&gt;"임대중"),"",IF(H33="",0,H33)+IF(I33="",0,I33))</f>
      </c>
      <c r="Y33" s="49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4"/>
      <c r="AA33" s="51"/>
      <c r="AB33" s="44"/>
      <c r="AC33" s="50">
        <f>IF($A33="","",IF(O33="공실","공실",IF(O33="자가사용","자가사용",IF(L33="","만료일 없음",IF(L33&lt;$C$6,"만료 경과",IF(L33&lt;=EDATE($C$6,12),"12개월 내","12개월 초과"))))))</f>
      </c>
      <c r="AD33" s="50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2">
        <f>IF(OR($A33="",C33=""),"",ROUND(C33*IF($G$9="평",3.305785,1),2))</f>
      </c>
      <c r="AF33" s="52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4"/>
      <c r="G34" s="45"/>
      <c r="H34" s="45"/>
      <c r="I34" s="45"/>
      <c r="J34" s="46"/>
      <c r="K34" s="46"/>
      <c r="L34" s="46"/>
      <c r="M34" s="44"/>
      <c r="N34" s="44"/>
      <c r="O34" s="44"/>
      <c r="P34" s="43"/>
      <c r="Q34" s="47">
        <f>IF(OR($A34="",C34=""),"",AE34/3.305785)</f>
      </c>
      <c r="R34" s="47">
        <f>IF(OR($A34="",D34=""),"",AF34/3.305785)</f>
      </c>
      <c r="S34" s="48">
        <f>IF(OR($A34="",C34="",D34=""),"",IF(C34&gt;0,D34/C34*100,""))</f>
      </c>
      <c r="T34" s="49">
        <f>IF(OR($A34="",O34&lt;&gt;"임대중",F34&lt;&gt;"상가",G34=""),"",G34+H34*100)</f>
      </c>
      <c r="U34" s="50">
        <f>IF(T34="","",IF(T34&lt;=$C$7,"○ 전면적용","× 초과 (5%상한 미적용)"))</f>
      </c>
      <c r="V34" s="50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50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9">
        <f>IF(OR($A34="",O34&lt;&gt;"임대중"),"",IF(H34="",0,H34)+IF(I34="",0,I34))</f>
      </c>
      <c r="Y34" s="49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4"/>
      <c r="AA34" s="51"/>
      <c r="AB34" s="44"/>
      <c r="AC34" s="50">
        <f>IF($A34="","",IF(O34="공실","공실",IF(O34="자가사용","자가사용",IF(L34="","만료일 없음",IF(L34&lt;$C$6,"만료 경과",IF(L34&lt;=EDATE($C$6,12),"12개월 내","12개월 초과"))))))</f>
      </c>
      <c r="AD34" s="50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2">
        <f>IF(OR($A34="",C34=""),"",ROUND(C34*IF($G$9="평",3.305785,1),2))</f>
      </c>
      <c r="AF34" s="52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4"/>
      <c r="G35" s="45"/>
      <c r="H35" s="45"/>
      <c r="I35" s="45"/>
      <c r="J35" s="46"/>
      <c r="K35" s="46"/>
      <c r="L35" s="46"/>
      <c r="M35" s="44"/>
      <c r="N35" s="44"/>
      <c r="O35" s="44"/>
      <c r="P35" s="43"/>
      <c r="Q35" s="47">
        <f>IF(OR($A35="",C35=""),"",AE35/3.305785)</f>
      </c>
      <c r="R35" s="47">
        <f>IF(OR($A35="",D35=""),"",AF35/3.305785)</f>
      </c>
      <c r="S35" s="48">
        <f>IF(OR($A35="",C35="",D35=""),"",IF(C35&gt;0,D35/C35*100,""))</f>
      </c>
      <c r="T35" s="49">
        <f>IF(OR($A35="",O35&lt;&gt;"임대중",F35&lt;&gt;"상가",G35=""),"",G35+H35*100)</f>
      </c>
      <c r="U35" s="50">
        <f>IF(T35="","",IF(T35&lt;=$C$7,"○ 전면적용","× 초과 (5%상한 미적용)"))</f>
      </c>
      <c r="V35" s="50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50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9">
        <f>IF(OR($A35="",O35&lt;&gt;"임대중"),"",IF(H35="",0,H35)+IF(I35="",0,I35))</f>
      </c>
      <c r="Y35" s="49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4"/>
      <c r="AA35" s="51"/>
      <c r="AB35" s="44"/>
      <c r="AC35" s="50">
        <f>IF($A35="","",IF(O35="공실","공실",IF(O35="자가사용","자가사용",IF(L35="","만료일 없음",IF(L35&lt;$C$6,"만료 경과",IF(L35&lt;=EDATE($C$6,12),"12개월 내","12개월 초과"))))))</f>
      </c>
      <c r="AD35" s="50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2">
        <f>IF(OR($A35="",C35=""),"",ROUND(C35*IF($G$9="평",3.305785,1),2))</f>
      </c>
      <c r="AF35" s="52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4"/>
      <c r="G36" s="45"/>
      <c r="H36" s="45"/>
      <c r="I36" s="45"/>
      <c r="J36" s="46"/>
      <c r="K36" s="46"/>
      <c r="L36" s="46"/>
      <c r="M36" s="44"/>
      <c r="N36" s="44"/>
      <c r="O36" s="44"/>
      <c r="P36" s="43"/>
      <c r="Q36" s="47">
        <f>IF(OR($A36="",C36=""),"",AE36/3.305785)</f>
      </c>
      <c r="R36" s="47">
        <f>IF(OR($A36="",D36=""),"",AF36/3.305785)</f>
      </c>
      <c r="S36" s="48">
        <f>IF(OR($A36="",C36="",D36=""),"",IF(C36&gt;0,D36/C36*100,""))</f>
      </c>
      <c r="T36" s="49">
        <f>IF(OR($A36="",O36&lt;&gt;"임대중",F36&lt;&gt;"상가",G36=""),"",G36+H36*100)</f>
      </c>
      <c r="U36" s="50">
        <f>IF(T36="","",IF(T36&lt;=$C$7,"○ 전면적용","× 초과 (5%상한 미적용)"))</f>
      </c>
      <c r="V36" s="50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50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9">
        <f>IF(OR($A36="",O36&lt;&gt;"임대중"),"",IF(H36="",0,H36)+IF(I36="",0,I36))</f>
      </c>
      <c r="Y36" s="49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4"/>
      <c r="AA36" s="51"/>
      <c r="AB36" s="44"/>
      <c r="AC36" s="50">
        <f>IF($A36="","",IF(O36="공실","공실",IF(O36="자가사용","자가사용",IF(L36="","만료일 없음",IF(L36&lt;$C$6,"만료 경과",IF(L36&lt;=EDATE($C$6,12),"12개월 내","12개월 초과"))))))</f>
      </c>
      <c r="AD36" s="50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2">
        <f>IF(OR($A36="",C36=""),"",ROUND(C36*IF($G$9="평",3.305785,1),2))</f>
      </c>
      <c r="AF36" s="52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4"/>
      <c r="G37" s="45"/>
      <c r="H37" s="45"/>
      <c r="I37" s="45"/>
      <c r="J37" s="46"/>
      <c r="K37" s="46"/>
      <c r="L37" s="46"/>
      <c r="M37" s="44"/>
      <c r="N37" s="44"/>
      <c r="O37" s="44"/>
      <c r="P37" s="43"/>
      <c r="Q37" s="47">
        <f>IF(OR($A37="",C37=""),"",AE37/3.305785)</f>
      </c>
      <c r="R37" s="47">
        <f>IF(OR($A37="",D37=""),"",AF37/3.305785)</f>
      </c>
      <c r="S37" s="48">
        <f>IF(OR($A37="",C37="",D37=""),"",IF(C37&gt;0,D37/C37*100,""))</f>
      </c>
      <c r="T37" s="49">
        <f>IF(OR($A37="",O37&lt;&gt;"임대중",F37&lt;&gt;"상가",G37=""),"",G37+H37*100)</f>
      </c>
      <c r="U37" s="50">
        <f>IF(T37="","",IF(T37&lt;=$C$7,"○ 전면적용","× 초과 (5%상한 미적용)"))</f>
      </c>
      <c r="V37" s="50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50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9">
        <f>IF(OR($A37="",O37&lt;&gt;"임대중"),"",IF(H37="",0,H37)+IF(I37="",0,I37))</f>
      </c>
      <c r="Y37" s="49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4"/>
      <c r="AA37" s="51"/>
      <c r="AB37" s="44"/>
      <c r="AC37" s="50">
        <f>IF($A37="","",IF(O37="공실","공실",IF(O37="자가사용","자가사용",IF(L37="","만료일 없음",IF(L37&lt;$C$6,"만료 경과",IF(L37&lt;=EDATE($C$6,12),"12개월 내","12개월 초과"))))))</f>
      </c>
      <c r="AD37" s="50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2">
        <f>IF(OR($A37="",C37=""),"",ROUND(C37*IF($G$9="평",3.305785,1),2))</f>
      </c>
      <c r="AF37" s="52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4"/>
      <c r="G38" s="45"/>
      <c r="H38" s="45"/>
      <c r="I38" s="45"/>
      <c r="J38" s="46"/>
      <c r="K38" s="46"/>
      <c r="L38" s="46"/>
      <c r="M38" s="44"/>
      <c r="N38" s="44"/>
      <c r="O38" s="44"/>
      <c r="P38" s="43"/>
      <c r="Q38" s="47">
        <f>IF(OR($A38="",C38=""),"",AE38/3.305785)</f>
      </c>
      <c r="R38" s="47">
        <f>IF(OR($A38="",D38=""),"",AF38/3.305785)</f>
      </c>
      <c r="S38" s="48">
        <f>IF(OR($A38="",C38="",D38=""),"",IF(C38&gt;0,D38/C38*100,""))</f>
      </c>
      <c r="T38" s="49">
        <f>IF(OR($A38="",O38&lt;&gt;"임대중",F38&lt;&gt;"상가",G38=""),"",G38+H38*100)</f>
      </c>
      <c r="U38" s="50">
        <f>IF(T38="","",IF(T38&lt;=$C$7,"○ 전면적용","× 초과 (5%상한 미적용)"))</f>
      </c>
      <c r="V38" s="50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50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9">
        <f>IF(OR($A38="",O38&lt;&gt;"임대중"),"",IF(H38="",0,H38)+IF(I38="",0,I38))</f>
      </c>
      <c r="Y38" s="49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4"/>
      <c r="AA38" s="51"/>
      <c r="AB38" s="44"/>
      <c r="AC38" s="50">
        <f>IF($A38="","",IF(O38="공실","공실",IF(O38="자가사용","자가사용",IF(L38="","만료일 없음",IF(L38&lt;$C$6,"만료 경과",IF(L38&lt;=EDATE($C$6,12),"12개월 내","12개월 초과"))))))</f>
      </c>
      <c r="AD38" s="50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2">
        <f>IF(OR($A38="",C38=""),"",ROUND(C38*IF($G$9="평",3.305785,1),2))</f>
      </c>
      <c r="AF38" s="52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4"/>
      <c r="G39" s="45"/>
      <c r="H39" s="45"/>
      <c r="I39" s="45"/>
      <c r="J39" s="46"/>
      <c r="K39" s="46"/>
      <c r="L39" s="46"/>
      <c r="M39" s="44"/>
      <c r="N39" s="44"/>
      <c r="O39" s="44"/>
      <c r="P39" s="43"/>
      <c r="Q39" s="47">
        <f>IF(OR($A39="",C39=""),"",AE39/3.305785)</f>
      </c>
      <c r="R39" s="47">
        <f>IF(OR($A39="",D39=""),"",AF39/3.305785)</f>
      </c>
      <c r="S39" s="48">
        <f>IF(OR($A39="",C39="",D39=""),"",IF(C39&gt;0,D39/C39*100,""))</f>
      </c>
      <c r="T39" s="49">
        <f>IF(OR($A39="",O39&lt;&gt;"임대중",F39&lt;&gt;"상가",G39=""),"",G39+H39*100)</f>
      </c>
      <c r="U39" s="50">
        <f>IF(T39="","",IF(T39&lt;=$C$7,"○ 전면적용","× 초과 (5%상한 미적용)"))</f>
      </c>
      <c r="V39" s="50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50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9">
        <f>IF(OR($A39="",O39&lt;&gt;"임대중"),"",IF(H39="",0,H39)+IF(I39="",0,I39))</f>
      </c>
      <c r="Y39" s="49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4"/>
      <c r="AA39" s="51"/>
      <c r="AB39" s="44"/>
      <c r="AC39" s="50">
        <f>IF($A39="","",IF(O39="공실","공실",IF(O39="자가사용","자가사용",IF(L39="","만료일 없음",IF(L39&lt;$C$6,"만료 경과",IF(L39&lt;=EDATE($C$6,12),"12개월 내","12개월 초과"))))))</f>
      </c>
      <c r="AD39" s="50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2">
        <f>IF(OR($A39="",C39=""),"",ROUND(C39*IF($G$9="평",3.305785,1),2))</f>
      </c>
      <c r="AF39" s="52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4"/>
      <c r="G40" s="45"/>
      <c r="H40" s="45"/>
      <c r="I40" s="45"/>
      <c r="J40" s="46"/>
      <c r="K40" s="46"/>
      <c r="L40" s="46"/>
      <c r="M40" s="44"/>
      <c r="N40" s="44"/>
      <c r="O40" s="44"/>
      <c r="P40" s="43"/>
      <c r="Q40" s="47">
        <f>IF(OR($A40="",C40=""),"",AE40/3.305785)</f>
      </c>
      <c r="R40" s="47">
        <f>IF(OR($A40="",D40=""),"",AF40/3.305785)</f>
      </c>
      <c r="S40" s="48">
        <f>IF(OR($A40="",C40="",D40=""),"",IF(C40&gt;0,D40/C40*100,""))</f>
      </c>
      <c r="T40" s="49">
        <f>IF(OR($A40="",O40&lt;&gt;"임대중",F40&lt;&gt;"상가",G40=""),"",G40+H40*100)</f>
      </c>
      <c r="U40" s="50">
        <f>IF(T40="","",IF(T40&lt;=$C$7,"○ 전면적용","× 초과 (5%상한 미적용)"))</f>
      </c>
      <c r="V40" s="50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50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9">
        <f>IF(OR($A40="",O40&lt;&gt;"임대중"),"",IF(H40="",0,H40)+IF(I40="",0,I40))</f>
      </c>
      <c r="Y40" s="49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4"/>
      <c r="AA40" s="51"/>
      <c r="AB40" s="44"/>
      <c r="AC40" s="50">
        <f>IF($A40="","",IF(O40="공실","공실",IF(O40="자가사용","자가사용",IF(L40="","만료일 없음",IF(L40&lt;$C$6,"만료 경과",IF(L40&lt;=EDATE($C$6,12),"12개월 내","12개월 초과"))))))</f>
      </c>
      <c r="AD40" s="50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2">
        <f>IF(OR($A40="",C40=""),"",ROUND(C40*IF($G$9="평",3.305785,1),2))</f>
      </c>
      <c r="AF40" s="52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4"/>
      <c r="G41" s="45"/>
      <c r="H41" s="45"/>
      <c r="I41" s="45"/>
      <c r="J41" s="46"/>
      <c r="K41" s="46"/>
      <c r="L41" s="46"/>
      <c r="M41" s="44"/>
      <c r="N41" s="44"/>
      <c r="O41" s="44"/>
      <c r="P41" s="43"/>
      <c r="Q41" s="47">
        <f>IF(OR($A41="",C41=""),"",AE41/3.305785)</f>
      </c>
      <c r="R41" s="47">
        <f>IF(OR($A41="",D41=""),"",AF41/3.305785)</f>
      </c>
      <c r="S41" s="48">
        <f>IF(OR($A41="",C41="",D41=""),"",IF(C41&gt;0,D41/C41*100,""))</f>
      </c>
      <c r="T41" s="49">
        <f>IF(OR($A41="",O41&lt;&gt;"임대중",F41&lt;&gt;"상가",G41=""),"",G41+H41*100)</f>
      </c>
      <c r="U41" s="50">
        <f>IF(T41="","",IF(T41&lt;=$C$7,"○ 전면적용","× 초과 (5%상한 미적용)"))</f>
      </c>
      <c r="V41" s="50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50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9">
        <f>IF(OR($A41="",O41&lt;&gt;"임대중"),"",IF(H41="",0,H41)+IF(I41="",0,I41))</f>
      </c>
      <c r="Y41" s="49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4"/>
      <c r="AA41" s="51"/>
      <c r="AB41" s="44"/>
      <c r="AC41" s="50">
        <f>IF($A41="","",IF(O41="공실","공실",IF(O41="자가사용","자가사용",IF(L41="","만료일 없음",IF(L41&lt;$C$6,"만료 경과",IF(L41&lt;=EDATE($C$6,12),"12개월 내","12개월 초과"))))))</f>
      </c>
      <c r="AD41" s="50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2">
        <f>IF(OR($A41="",C41=""),"",ROUND(C41*IF($G$9="평",3.305785,1),2))</f>
      </c>
      <c r="AF41" s="52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4"/>
      <c r="G42" s="45"/>
      <c r="H42" s="45"/>
      <c r="I42" s="45"/>
      <c r="J42" s="46"/>
      <c r="K42" s="46"/>
      <c r="L42" s="46"/>
      <c r="M42" s="44"/>
      <c r="N42" s="44"/>
      <c r="O42" s="44"/>
      <c r="P42" s="43"/>
      <c r="Q42" s="47">
        <f>IF(OR($A42="",C42=""),"",AE42/3.305785)</f>
      </c>
      <c r="R42" s="47">
        <f>IF(OR($A42="",D42=""),"",AF42/3.305785)</f>
      </c>
      <c r="S42" s="48">
        <f>IF(OR($A42="",C42="",D42=""),"",IF(C42&gt;0,D42/C42*100,""))</f>
      </c>
      <c r="T42" s="49">
        <f>IF(OR($A42="",O42&lt;&gt;"임대중",F42&lt;&gt;"상가",G42=""),"",G42+H42*100)</f>
      </c>
      <c r="U42" s="50">
        <f>IF(T42="","",IF(T42&lt;=$C$7,"○ 전면적용","× 초과 (5%상한 미적용)"))</f>
      </c>
      <c r="V42" s="50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50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9">
        <f>IF(OR($A42="",O42&lt;&gt;"임대중"),"",IF(H42="",0,H42)+IF(I42="",0,I42))</f>
      </c>
      <c r="Y42" s="49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4"/>
      <c r="AA42" s="51"/>
      <c r="AB42" s="44"/>
      <c r="AC42" s="50">
        <f>IF($A42="","",IF(O42="공실","공실",IF(O42="자가사용","자가사용",IF(L42="","만료일 없음",IF(L42&lt;$C$6,"만료 경과",IF(L42&lt;=EDATE($C$6,12),"12개월 내","12개월 초과"))))))</f>
      </c>
      <c r="AD42" s="50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2">
        <f>IF(OR($A42="",C42=""),"",ROUND(C42*IF($G$9="평",3.305785,1),2))</f>
      </c>
      <c r="AF42" s="52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4"/>
      <c r="G43" s="45"/>
      <c r="H43" s="45"/>
      <c r="I43" s="45"/>
      <c r="J43" s="46"/>
      <c r="K43" s="46"/>
      <c r="L43" s="46"/>
      <c r="M43" s="44"/>
      <c r="N43" s="44"/>
      <c r="O43" s="44"/>
      <c r="P43" s="43"/>
      <c r="Q43" s="47">
        <f>IF(OR($A43="",C43=""),"",AE43/3.305785)</f>
      </c>
      <c r="R43" s="47">
        <f>IF(OR($A43="",D43=""),"",AF43/3.305785)</f>
      </c>
      <c r="S43" s="48">
        <f>IF(OR($A43="",C43="",D43=""),"",IF(C43&gt;0,D43/C43*100,""))</f>
      </c>
      <c r="T43" s="49">
        <f>IF(OR($A43="",O43&lt;&gt;"임대중",F43&lt;&gt;"상가",G43=""),"",G43+H43*100)</f>
      </c>
      <c r="U43" s="50">
        <f>IF(T43="","",IF(T43&lt;=$C$7,"○ 전면적용","× 초과 (5%상한 미적용)"))</f>
      </c>
      <c r="V43" s="50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50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9">
        <f>IF(OR($A43="",O43&lt;&gt;"임대중"),"",IF(H43="",0,H43)+IF(I43="",0,I43))</f>
      </c>
      <c r="Y43" s="49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4"/>
      <c r="AA43" s="51"/>
      <c r="AB43" s="44"/>
      <c r="AC43" s="50">
        <f>IF($A43="","",IF(O43="공실","공실",IF(O43="자가사용","자가사용",IF(L43="","만료일 없음",IF(L43&lt;$C$6,"만료 경과",IF(L43&lt;=EDATE($C$6,12),"12개월 내","12개월 초과"))))))</f>
      </c>
      <c r="AD43" s="50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2">
        <f>IF(OR($A43="",C43=""),"",ROUND(C43*IF($G$9="평",3.305785,1),2))</f>
      </c>
      <c r="AF43" s="52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4"/>
      <c r="G44" s="45"/>
      <c r="H44" s="45"/>
      <c r="I44" s="45"/>
      <c r="J44" s="46"/>
      <c r="K44" s="46"/>
      <c r="L44" s="46"/>
      <c r="M44" s="44"/>
      <c r="N44" s="44"/>
      <c r="O44" s="44"/>
      <c r="P44" s="43"/>
      <c r="Q44" s="47">
        <f>IF(OR($A44="",C44=""),"",AE44/3.305785)</f>
      </c>
      <c r="R44" s="47">
        <f>IF(OR($A44="",D44=""),"",AF44/3.305785)</f>
      </c>
      <c r="S44" s="48">
        <f>IF(OR($A44="",C44="",D44=""),"",IF(C44&gt;0,D44/C44*100,""))</f>
      </c>
      <c r="T44" s="49">
        <f>IF(OR($A44="",O44&lt;&gt;"임대중",F44&lt;&gt;"상가",G44=""),"",G44+H44*100)</f>
      </c>
      <c r="U44" s="50">
        <f>IF(T44="","",IF(T44&lt;=$C$7,"○ 전면적용","× 초과 (5%상한 미적용)"))</f>
      </c>
      <c r="V44" s="50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50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9">
        <f>IF(OR($A44="",O44&lt;&gt;"임대중"),"",IF(H44="",0,H44)+IF(I44="",0,I44))</f>
      </c>
      <c r="Y44" s="49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4"/>
      <c r="AA44" s="51"/>
      <c r="AB44" s="44"/>
      <c r="AC44" s="50">
        <f>IF($A44="","",IF(O44="공실","공실",IF(O44="자가사용","자가사용",IF(L44="","만료일 없음",IF(L44&lt;$C$6,"만료 경과",IF(L44&lt;=EDATE($C$6,12),"12개월 내","12개월 초과"))))))</f>
      </c>
      <c r="AD44" s="50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2">
        <f>IF(OR($A44="",C44=""),"",ROUND(C44*IF($G$9="평",3.305785,1),2))</f>
      </c>
      <c r="AF44" s="52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4"/>
      <c r="G45" s="45"/>
      <c r="H45" s="45"/>
      <c r="I45" s="45"/>
      <c r="J45" s="46"/>
      <c r="K45" s="46"/>
      <c r="L45" s="46"/>
      <c r="M45" s="44"/>
      <c r="N45" s="44"/>
      <c r="O45" s="44"/>
      <c r="P45" s="43"/>
      <c r="Q45" s="47">
        <f>IF(OR($A45="",C45=""),"",AE45/3.305785)</f>
      </c>
      <c r="R45" s="47">
        <f>IF(OR($A45="",D45=""),"",AF45/3.305785)</f>
      </c>
      <c r="S45" s="48">
        <f>IF(OR($A45="",C45="",D45=""),"",IF(C45&gt;0,D45/C45*100,""))</f>
      </c>
      <c r="T45" s="49">
        <f>IF(OR($A45="",O45&lt;&gt;"임대중",F45&lt;&gt;"상가",G45=""),"",G45+H45*100)</f>
      </c>
      <c r="U45" s="50">
        <f>IF(T45="","",IF(T45&lt;=$C$7,"○ 전면적용","× 초과 (5%상한 미적용)"))</f>
      </c>
      <c r="V45" s="50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50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9">
        <f>IF(OR($A45="",O45&lt;&gt;"임대중"),"",IF(H45="",0,H45)+IF(I45="",0,I45))</f>
      </c>
      <c r="Y45" s="49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4"/>
      <c r="AA45" s="51"/>
      <c r="AB45" s="44"/>
      <c r="AC45" s="50">
        <f>IF($A45="","",IF(O45="공실","공실",IF(O45="자가사용","자가사용",IF(L45="","만료일 없음",IF(L45&lt;$C$6,"만료 경과",IF(L45&lt;=EDATE($C$6,12),"12개월 내","12개월 초과"))))))</f>
      </c>
      <c r="AD45" s="50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2">
        <f>IF(OR($A45="",C45=""),"",ROUND(C45*IF($G$9="평",3.305785,1),2))</f>
      </c>
      <c r="AF45" s="52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4"/>
      <c r="G46" s="45"/>
      <c r="H46" s="45"/>
      <c r="I46" s="45"/>
      <c r="J46" s="46"/>
      <c r="K46" s="46"/>
      <c r="L46" s="46"/>
      <c r="M46" s="44"/>
      <c r="N46" s="44"/>
      <c r="O46" s="44"/>
      <c r="P46" s="43"/>
      <c r="Q46" s="47">
        <f>IF(OR($A46="",C46=""),"",AE46/3.305785)</f>
      </c>
      <c r="R46" s="47">
        <f>IF(OR($A46="",D46=""),"",AF46/3.305785)</f>
      </c>
      <c r="S46" s="48">
        <f>IF(OR($A46="",C46="",D46=""),"",IF(C46&gt;0,D46/C46*100,""))</f>
      </c>
      <c r="T46" s="49">
        <f>IF(OR($A46="",O46&lt;&gt;"임대중",F46&lt;&gt;"상가",G46=""),"",G46+H46*100)</f>
      </c>
      <c r="U46" s="50">
        <f>IF(T46="","",IF(T46&lt;=$C$7,"○ 전면적용","× 초과 (5%상한 미적용)"))</f>
      </c>
      <c r="V46" s="50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50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9">
        <f>IF(OR($A46="",O46&lt;&gt;"임대중"),"",IF(H46="",0,H46)+IF(I46="",0,I46))</f>
      </c>
      <c r="Y46" s="49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4"/>
      <c r="AA46" s="51"/>
      <c r="AB46" s="44"/>
      <c r="AC46" s="50">
        <f>IF($A46="","",IF(O46="공실","공실",IF(O46="자가사용","자가사용",IF(L46="","만료일 없음",IF(L46&lt;$C$6,"만료 경과",IF(L46&lt;=EDATE($C$6,12),"12개월 내","12개월 초과"))))))</f>
      </c>
      <c r="AD46" s="50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2">
        <f>IF(OR($A46="",C46=""),"",ROUND(C46*IF($G$9="평",3.305785,1),2))</f>
      </c>
      <c r="AF46" s="52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4"/>
      <c r="G47" s="45"/>
      <c r="H47" s="45"/>
      <c r="I47" s="45"/>
      <c r="J47" s="46"/>
      <c r="K47" s="46"/>
      <c r="L47" s="46"/>
      <c r="M47" s="44"/>
      <c r="N47" s="44"/>
      <c r="O47" s="44"/>
      <c r="P47" s="43"/>
      <c r="Q47" s="47">
        <f>IF(OR($A47="",C47=""),"",AE47/3.305785)</f>
      </c>
      <c r="R47" s="47">
        <f>IF(OR($A47="",D47=""),"",AF47/3.305785)</f>
      </c>
      <c r="S47" s="48">
        <f>IF(OR($A47="",C47="",D47=""),"",IF(C47&gt;0,D47/C47*100,""))</f>
      </c>
      <c r="T47" s="49">
        <f>IF(OR($A47="",O47&lt;&gt;"임대중",F47&lt;&gt;"상가",G47=""),"",G47+H47*100)</f>
      </c>
      <c r="U47" s="50">
        <f>IF(T47="","",IF(T47&lt;=$C$7,"○ 전면적용","× 초과 (5%상한 미적용)"))</f>
      </c>
      <c r="V47" s="50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50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9">
        <f>IF(OR($A47="",O47&lt;&gt;"임대중"),"",IF(H47="",0,H47)+IF(I47="",0,I47))</f>
      </c>
      <c r="Y47" s="49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4"/>
      <c r="AA47" s="51"/>
      <c r="AB47" s="44"/>
      <c r="AC47" s="50">
        <f>IF($A47="","",IF(O47="공실","공실",IF(O47="자가사용","자가사용",IF(L47="","만료일 없음",IF(L47&lt;$C$6,"만료 경과",IF(L47&lt;=EDATE($C$6,12),"12개월 내","12개월 초과"))))))</f>
      </c>
      <c r="AD47" s="50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2">
        <f>IF(OR($A47="",C47=""),"",ROUND(C47*IF($G$9="평",3.305785,1),2))</f>
      </c>
      <c r="AF47" s="52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4"/>
      <c r="G48" s="45"/>
      <c r="H48" s="45"/>
      <c r="I48" s="45"/>
      <c r="J48" s="46"/>
      <c r="K48" s="46"/>
      <c r="L48" s="46"/>
      <c r="M48" s="44"/>
      <c r="N48" s="44"/>
      <c r="O48" s="44"/>
      <c r="P48" s="43"/>
      <c r="Q48" s="47">
        <f>IF(OR($A48="",C48=""),"",AE48/3.305785)</f>
      </c>
      <c r="R48" s="47">
        <f>IF(OR($A48="",D48=""),"",AF48/3.305785)</f>
      </c>
      <c r="S48" s="48">
        <f>IF(OR($A48="",C48="",D48=""),"",IF(C48&gt;0,D48/C48*100,""))</f>
      </c>
      <c r="T48" s="49">
        <f>IF(OR($A48="",O48&lt;&gt;"임대중",F48&lt;&gt;"상가",G48=""),"",G48+H48*100)</f>
      </c>
      <c r="U48" s="50">
        <f>IF(T48="","",IF(T48&lt;=$C$7,"○ 전면적용","× 초과 (5%상한 미적용)"))</f>
      </c>
      <c r="V48" s="50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50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9">
        <f>IF(OR($A48="",O48&lt;&gt;"임대중"),"",IF(H48="",0,H48)+IF(I48="",0,I48))</f>
      </c>
      <c r="Y48" s="49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4"/>
      <c r="AA48" s="51"/>
      <c r="AB48" s="44"/>
      <c r="AC48" s="50">
        <f>IF($A48="","",IF(O48="공실","공실",IF(O48="자가사용","자가사용",IF(L48="","만료일 없음",IF(L48&lt;$C$6,"만료 경과",IF(L48&lt;=EDATE($C$6,12),"12개월 내","12개월 초과"))))))</f>
      </c>
      <c r="AD48" s="50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2">
        <f>IF(OR($A48="",C48=""),"",ROUND(C48*IF($G$9="평",3.305785,1),2))</f>
      </c>
      <c r="AF48" s="52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4"/>
      <c r="G49" s="45"/>
      <c r="H49" s="45"/>
      <c r="I49" s="45"/>
      <c r="J49" s="46"/>
      <c r="K49" s="46"/>
      <c r="L49" s="46"/>
      <c r="M49" s="44"/>
      <c r="N49" s="44"/>
      <c r="O49" s="44"/>
      <c r="P49" s="43"/>
      <c r="Q49" s="47">
        <f>IF(OR($A49="",C49=""),"",AE49/3.305785)</f>
      </c>
      <c r="R49" s="47">
        <f>IF(OR($A49="",D49=""),"",AF49/3.305785)</f>
      </c>
      <c r="S49" s="48">
        <f>IF(OR($A49="",C49="",D49=""),"",IF(C49&gt;0,D49/C49*100,""))</f>
      </c>
      <c r="T49" s="49">
        <f>IF(OR($A49="",O49&lt;&gt;"임대중",F49&lt;&gt;"상가",G49=""),"",G49+H49*100)</f>
      </c>
      <c r="U49" s="50">
        <f>IF(T49="","",IF(T49&lt;=$C$7,"○ 전면적용","× 초과 (5%상한 미적용)"))</f>
      </c>
      <c r="V49" s="50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50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9">
        <f>IF(OR($A49="",O49&lt;&gt;"임대중"),"",IF(H49="",0,H49)+IF(I49="",0,I49))</f>
      </c>
      <c r="Y49" s="49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4"/>
      <c r="AA49" s="51"/>
      <c r="AB49" s="44"/>
      <c r="AC49" s="50">
        <f>IF($A49="","",IF(O49="공실","공실",IF(O49="자가사용","자가사용",IF(L49="","만료일 없음",IF(L49&lt;$C$6,"만료 경과",IF(L49&lt;=EDATE($C$6,12),"12개월 내","12개월 초과"))))))</f>
      </c>
      <c r="AD49" s="50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2">
        <f>IF(OR($A49="",C49=""),"",ROUND(C49*IF($G$9="평",3.305785,1),2))</f>
      </c>
      <c r="AF49" s="52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4"/>
      <c r="G50" s="45"/>
      <c r="H50" s="45"/>
      <c r="I50" s="45"/>
      <c r="J50" s="46"/>
      <c r="K50" s="46"/>
      <c r="L50" s="46"/>
      <c r="M50" s="44"/>
      <c r="N50" s="44"/>
      <c r="O50" s="44"/>
      <c r="P50" s="43"/>
      <c r="Q50" s="47">
        <f>IF(OR($A50="",C50=""),"",AE50/3.305785)</f>
      </c>
      <c r="R50" s="47">
        <f>IF(OR($A50="",D50=""),"",AF50/3.305785)</f>
      </c>
      <c r="S50" s="48">
        <f>IF(OR($A50="",C50="",D50=""),"",IF(C50&gt;0,D50/C50*100,""))</f>
      </c>
      <c r="T50" s="49">
        <f>IF(OR($A50="",O50&lt;&gt;"임대중",F50&lt;&gt;"상가",G50=""),"",G50+H50*100)</f>
      </c>
      <c r="U50" s="50">
        <f>IF(T50="","",IF(T50&lt;=$C$7,"○ 전면적용","× 초과 (5%상한 미적용)"))</f>
      </c>
      <c r="V50" s="50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50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9">
        <f>IF(OR($A50="",O50&lt;&gt;"임대중"),"",IF(H50="",0,H50)+IF(I50="",0,I50))</f>
      </c>
      <c r="Y50" s="49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4"/>
      <c r="AA50" s="51"/>
      <c r="AB50" s="44"/>
      <c r="AC50" s="50">
        <f>IF($A50="","",IF(O50="공실","공실",IF(O50="자가사용","자가사용",IF(L50="","만료일 없음",IF(L50&lt;$C$6,"만료 경과",IF(L50&lt;=EDATE($C$6,12),"12개월 내","12개월 초과"))))))</f>
      </c>
      <c r="AD50" s="50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2">
        <f>IF(OR($A50="",C50=""),"",ROUND(C50*IF($G$9="평",3.305785,1),2))</f>
      </c>
      <c r="AF50" s="52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4"/>
      <c r="G51" s="45"/>
      <c r="H51" s="45"/>
      <c r="I51" s="45"/>
      <c r="J51" s="46"/>
      <c r="K51" s="46"/>
      <c r="L51" s="46"/>
      <c r="M51" s="44"/>
      <c r="N51" s="44"/>
      <c r="O51" s="44"/>
      <c r="P51" s="43"/>
      <c r="Q51" s="47">
        <f>IF(OR($A51="",C51=""),"",AE51/3.305785)</f>
      </c>
      <c r="R51" s="47">
        <f>IF(OR($A51="",D51=""),"",AF51/3.305785)</f>
      </c>
      <c r="S51" s="48">
        <f>IF(OR($A51="",C51="",D51=""),"",IF(C51&gt;0,D51/C51*100,""))</f>
      </c>
      <c r="T51" s="49">
        <f>IF(OR($A51="",O51&lt;&gt;"임대중",F51&lt;&gt;"상가",G51=""),"",G51+H51*100)</f>
      </c>
      <c r="U51" s="50">
        <f>IF(T51="","",IF(T51&lt;=$C$7,"○ 전면적용","× 초과 (5%상한 미적용)"))</f>
      </c>
      <c r="V51" s="50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50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9">
        <f>IF(OR($A51="",O51&lt;&gt;"임대중"),"",IF(H51="",0,H51)+IF(I51="",0,I51))</f>
      </c>
      <c r="Y51" s="49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4"/>
      <c r="AA51" s="51"/>
      <c r="AB51" s="44"/>
      <c r="AC51" s="50">
        <f>IF($A51="","",IF(O51="공실","공실",IF(O51="자가사용","자가사용",IF(L51="","만료일 없음",IF(L51&lt;$C$6,"만료 경과",IF(L51&lt;=EDATE($C$6,12),"12개월 내","12개월 초과"))))))</f>
      </c>
      <c r="AD51" s="50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2">
        <f>IF(OR($A51="",C51=""),"",ROUND(C51*IF($G$9="평",3.305785,1),2))</f>
      </c>
      <c r="AF51" s="52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4"/>
      <c r="G52" s="45"/>
      <c r="H52" s="45"/>
      <c r="I52" s="45"/>
      <c r="J52" s="46"/>
      <c r="K52" s="46"/>
      <c r="L52" s="46"/>
      <c r="M52" s="44"/>
      <c r="N52" s="44"/>
      <c r="O52" s="44"/>
      <c r="P52" s="43"/>
      <c r="Q52" s="47">
        <f>IF(OR($A52="",C52=""),"",AE52/3.305785)</f>
      </c>
      <c r="R52" s="47">
        <f>IF(OR($A52="",D52=""),"",AF52/3.305785)</f>
      </c>
      <c r="S52" s="48">
        <f>IF(OR($A52="",C52="",D52=""),"",IF(C52&gt;0,D52/C52*100,""))</f>
      </c>
      <c r="T52" s="49">
        <f>IF(OR($A52="",O52&lt;&gt;"임대중",F52&lt;&gt;"상가",G52=""),"",G52+H52*100)</f>
      </c>
      <c r="U52" s="50">
        <f>IF(T52="","",IF(T52&lt;=$C$7,"○ 전면적용","× 초과 (5%상한 미적용)"))</f>
      </c>
      <c r="V52" s="50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50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9">
        <f>IF(OR($A52="",O52&lt;&gt;"임대중"),"",IF(H52="",0,H52)+IF(I52="",0,I52))</f>
      </c>
      <c r="Y52" s="49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4"/>
      <c r="AA52" s="51"/>
      <c r="AB52" s="44"/>
      <c r="AC52" s="50">
        <f>IF($A52="","",IF(O52="공실","공실",IF(O52="자가사용","자가사용",IF(L52="","만료일 없음",IF(L52&lt;$C$6,"만료 경과",IF(L52&lt;=EDATE($C$6,12),"12개월 내","12개월 초과"))))))</f>
      </c>
      <c r="AD52" s="50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2">
        <f>IF(OR($A52="",C52=""),"",ROUND(C52*IF($G$9="평",3.305785,1),2))</f>
      </c>
      <c r="AF52" s="52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4"/>
      <c r="G53" s="45"/>
      <c r="H53" s="45"/>
      <c r="I53" s="45"/>
      <c r="J53" s="46"/>
      <c r="K53" s="46"/>
      <c r="L53" s="46"/>
      <c r="M53" s="44"/>
      <c r="N53" s="44"/>
      <c r="O53" s="44"/>
      <c r="P53" s="43"/>
      <c r="Q53" s="47">
        <f>IF(OR($A53="",C53=""),"",AE53/3.305785)</f>
      </c>
      <c r="R53" s="47">
        <f>IF(OR($A53="",D53=""),"",AF53/3.305785)</f>
      </c>
      <c r="S53" s="48">
        <f>IF(OR($A53="",C53="",D53=""),"",IF(C53&gt;0,D53/C53*100,""))</f>
      </c>
      <c r="T53" s="49">
        <f>IF(OR($A53="",O53&lt;&gt;"임대중",F53&lt;&gt;"상가",G53=""),"",G53+H53*100)</f>
      </c>
      <c r="U53" s="50">
        <f>IF(T53="","",IF(T53&lt;=$C$7,"○ 전면적용","× 초과 (5%상한 미적용)"))</f>
      </c>
      <c r="V53" s="50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50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9">
        <f>IF(OR($A53="",O53&lt;&gt;"임대중"),"",IF(H53="",0,H53)+IF(I53="",0,I53))</f>
      </c>
      <c r="Y53" s="49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4"/>
      <c r="AA53" s="51"/>
      <c r="AB53" s="44"/>
      <c r="AC53" s="50">
        <f>IF($A53="","",IF(O53="공실","공실",IF(O53="자가사용","자가사용",IF(L53="","만료일 없음",IF(L53&lt;$C$6,"만료 경과",IF(L53&lt;=EDATE($C$6,12),"12개월 내","12개월 초과"))))))</f>
      </c>
      <c r="AD53" s="50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2">
        <f>IF(OR($A53="",C53=""),"",ROUND(C53*IF($G$9="평",3.305785,1),2))</f>
      </c>
      <c r="AF53" s="52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4"/>
      <c r="G54" s="45"/>
      <c r="H54" s="45"/>
      <c r="I54" s="45"/>
      <c r="J54" s="46"/>
      <c r="K54" s="46"/>
      <c r="L54" s="46"/>
      <c r="M54" s="44"/>
      <c r="N54" s="44"/>
      <c r="O54" s="44"/>
      <c r="P54" s="43"/>
      <c r="Q54" s="47">
        <f>IF(OR($A54="",C54=""),"",AE54/3.305785)</f>
      </c>
      <c r="R54" s="47">
        <f>IF(OR($A54="",D54=""),"",AF54/3.305785)</f>
      </c>
      <c r="S54" s="48">
        <f>IF(OR($A54="",C54="",D54=""),"",IF(C54&gt;0,D54/C54*100,""))</f>
      </c>
      <c r="T54" s="49">
        <f>IF(OR($A54="",O54&lt;&gt;"임대중",F54&lt;&gt;"상가",G54=""),"",G54+H54*100)</f>
      </c>
      <c r="U54" s="50">
        <f>IF(T54="","",IF(T54&lt;=$C$7,"○ 전면적용","× 초과 (5%상한 미적용)"))</f>
      </c>
      <c r="V54" s="50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50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9">
        <f>IF(OR($A54="",O54&lt;&gt;"임대중"),"",IF(H54="",0,H54)+IF(I54="",0,I54))</f>
      </c>
      <c r="Y54" s="49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4"/>
      <c r="AA54" s="51"/>
      <c r="AB54" s="44"/>
      <c r="AC54" s="50">
        <f>IF($A54="","",IF(O54="공실","공실",IF(O54="자가사용","자가사용",IF(L54="","만료일 없음",IF(L54&lt;$C$6,"만료 경과",IF(L54&lt;=EDATE($C$6,12),"12개월 내","12개월 초과"))))))</f>
      </c>
      <c r="AD54" s="50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2">
        <f>IF(OR($A54="",C54=""),"",ROUND(C54*IF($G$9="평",3.305785,1),2))</f>
      </c>
      <c r="AF54" s="52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4"/>
      <c r="G55" s="45"/>
      <c r="H55" s="45"/>
      <c r="I55" s="45"/>
      <c r="J55" s="46"/>
      <c r="K55" s="46"/>
      <c r="L55" s="46"/>
      <c r="M55" s="44"/>
      <c r="N55" s="44"/>
      <c r="O55" s="44"/>
      <c r="P55" s="43"/>
      <c r="Q55" s="47">
        <f>IF(OR($A55="",C55=""),"",AE55/3.305785)</f>
      </c>
      <c r="R55" s="47">
        <f>IF(OR($A55="",D55=""),"",AF55/3.305785)</f>
      </c>
      <c r="S55" s="48">
        <f>IF(OR($A55="",C55="",D55=""),"",IF(C55&gt;0,D55/C55*100,""))</f>
      </c>
      <c r="T55" s="49">
        <f>IF(OR($A55="",O55&lt;&gt;"임대중",F55&lt;&gt;"상가",G55=""),"",G55+H55*100)</f>
      </c>
      <c r="U55" s="50">
        <f>IF(T55="","",IF(T55&lt;=$C$7,"○ 전면적용","× 초과 (5%상한 미적용)"))</f>
      </c>
      <c r="V55" s="50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50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9">
        <f>IF(OR($A55="",O55&lt;&gt;"임대중"),"",IF(H55="",0,H55)+IF(I55="",0,I55))</f>
      </c>
      <c r="Y55" s="49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4"/>
      <c r="AA55" s="51"/>
      <c r="AB55" s="44"/>
      <c r="AC55" s="50">
        <f>IF($A55="","",IF(O55="공실","공실",IF(O55="자가사용","자가사용",IF(L55="","만료일 없음",IF(L55&lt;$C$6,"만료 경과",IF(L55&lt;=EDATE($C$6,12),"12개월 내","12개월 초과"))))))</f>
      </c>
      <c r="AD55" s="50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2">
        <f>IF(OR($A55="",C55=""),"",ROUND(C55*IF($G$9="평",3.305785,1),2))</f>
      </c>
      <c r="AF55" s="52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4"/>
      <c r="G56" s="45"/>
      <c r="H56" s="45"/>
      <c r="I56" s="45"/>
      <c r="J56" s="46"/>
      <c r="K56" s="46"/>
      <c r="L56" s="46"/>
      <c r="M56" s="44"/>
      <c r="N56" s="44"/>
      <c r="O56" s="44"/>
      <c r="P56" s="43"/>
      <c r="Q56" s="47">
        <f>IF(OR($A56="",C56=""),"",AE56/3.305785)</f>
      </c>
      <c r="R56" s="47">
        <f>IF(OR($A56="",D56=""),"",AF56/3.305785)</f>
      </c>
      <c r="S56" s="48">
        <f>IF(OR($A56="",C56="",D56=""),"",IF(C56&gt;0,D56/C56*100,""))</f>
      </c>
      <c r="T56" s="49">
        <f>IF(OR($A56="",O56&lt;&gt;"임대중",F56&lt;&gt;"상가",G56=""),"",G56+H56*100)</f>
      </c>
      <c r="U56" s="50">
        <f>IF(T56="","",IF(T56&lt;=$C$7,"○ 전면적용","× 초과 (5%상한 미적용)"))</f>
      </c>
      <c r="V56" s="50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50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9">
        <f>IF(OR($A56="",O56&lt;&gt;"임대중"),"",IF(H56="",0,H56)+IF(I56="",0,I56))</f>
      </c>
      <c r="Y56" s="49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4"/>
      <c r="AA56" s="51"/>
      <c r="AB56" s="44"/>
      <c r="AC56" s="50">
        <f>IF($A56="","",IF(O56="공실","공실",IF(O56="자가사용","자가사용",IF(L56="","만료일 없음",IF(L56&lt;$C$6,"만료 경과",IF(L56&lt;=EDATE($C$6,12),"12개월 내","12개월 초과"))))))</f>
      </c>
      <c r="AD56" s="50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2">
        <f>IF(OR($A56="",C56=""),"",ROUND(C56*IF($G$9="평",3.305785,1),2))</f>
      </c>
      <c r="AF56" s="52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4"/>
      <c r="G57" s="45"/>
      <c r="H57" s="45"/>
      <c r="I57" s="45"/>
      <c r="J57" s="46"/>
      <c r="K57" s="46"/>
      <c r="L57" s="46"/>
      <c r="M57" s="44"/>
      <c r="N57" s="44"/>
      <c r="O57" s="44"/>
      <c r="P57" s="43"/>
      <c r="Q57" s="47">
        <f>IF(OR($A57="",C57=""),"",AE57/3.305785)</f>
      </c>
      <c r="R57" s="47">
        <f>IF(OR($A57="",D57=""),"",AF57/3.305785)</f>
      </c>
      <c r="S57" s="48">
        <f>IF(OR($A57="",C57="",D57=""),"",IF(C57&gt;0,D57/C57*100,""))</f>
      </c>
      <c r="T57" s="49">
        <f>IF(OR($A57="",O57&lt;&gt;"임대중",F57&lt;&gt;"상가",G57=""),"",G57+H57*100)</f>
      </c>
      <c r="U57" s="50">
        <f>IF(T57="","",IF(T57&lt;=$C$7,"○ 전면적용","× 초과 (5%상한 미적용)"))</f>
      </c>
      <c r="V57" s="50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50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9">
        <f>IF(OR($A57="",O57&lt;&gt;"임대중"),"",IF(H57="",0,H57)+IF(I57="",0,I57))</f>
      </c>
      <c r="Y57" s="49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4"/>
      <c r="AA57" s="51"/>
      <c r="AB57" s="44"/>
      <c r="AC57" s="50">
        <f>IF($A57="","",IF(O57="공실","공실",IF(O57="자가사용","자가사용",IF(L57="","만료일 없음",IF(L57&lt;$C$6,"만료 경과",IF(L57&lt;=EDATE($C$6,12),"12개월 내","12개월 초과"))))))</f>
      </c>
      <c r="AD57" s="50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2">
        <f>IF(OR($A57="",C57=""),"",ROUND(C57*IF($G$9="평",3.305785,1),2))</f>
      </c>
      <c r="AF57" s="52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4"/>
      <c r="G58" s="45"/>
      <c r="H58" s="45"/>
      <c r="I58" s="45"/>
      <c r="J58" s="46"/>
      <c r="K58" s="46"/>
      <c r="L58" s="46"/>
      <c r="M58" s="44"/>
      <c r="N58" s="44"/>
      <c r="O58" s="44"/>
      <c r="P58" s="43"/>
      <c r="Q58" s="47">
        <f>IF(OR($A58="",C58=""),"",AE58/3.305785)</f>
      </c>
      <c r="R58" s="47">
        <f>IF(OR($A58="",D58=""),"",AF58/3.305785)</f>
      </c>
      <c r="S58" s="48">
        <f>IF(OR($A58="",C58="",D58=""),"",IF(C58&gt;0,D58/C58*100,""))</f>
      </c>
      <c r="T58" s="49">
        <f>IF(OR($A58="",O58&lt;&gt;"임대중",F58&lt;&gt;"상가",G58=""),"",G58+H58*100)</f>
      </c>
      <c r="U58" s="50">
        <f>IF(T58="","",IF(T58&lt;=$C$7,"○ 전면적용","× 초과 (5%상한 미적용)"))</f>
      </c>
      <c r="V58" s="50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50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9">
        <f>IF(OR($A58="",O58&lt;&gt;"임대중"),"",IF(H58="",0,H58)+IF(I58="",0,I58))</f>
      </c>
      <c r="Y58" s="49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4"/>
      <c r="AA58" s="51"/>
      <c r="AB58" s="44"/>
      <c r="AC58" s="50">
        <f>IF($A58="","",IF(O58="공실","공실",IF(O58="자가사용","자가사용",IF(L58="","만료일 없음",IF(L58&lt;$C$6,"만료 경과",IF(L58&lt;=EDATE($C$6,12),"12개월 내","12개월 초과"))))))</f>
      </c>
      <c r="AD58" s="50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2">
        <f>IF(OR($A58="",C58=""),"",ROUND(C58*IF($G$9="평",3.305785,1),2))</f>
      </c>
      <c r="AF58" s="52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4"/>
      <c r="G59" s="45"/>
      <c r="H59" s="45"/>
      <c r="I59" s="45"/>
      <c r="J59" s="46"/>
      <c r="K59" s="46"/>
      <c r="L59" s="46"/>
      <c r="M59" s="44"/>
      <c r="N59" s="44"/>
      <c r="O59" s="44"/>
      <c r="P59" s="43"/>
      <c r="Q59" s="47">
        <f>IF(OR($A59="",C59=""),"",AE59/3.305785)</f>
      </c>
      <c r="R59" s="47">
        <f>IF(OR($A59="",D59=""),"",AF59/3.305785)</f>
      </c>
      <c r="S59" s="48">
        <f>IF(OR($A59="",C59="",D59=""),"",IF(C59&gt;0,D59/C59*100,""))</f>
      </c>
      <c r="T59" s="49">
        <f>IF(OR($A59="",O59&lt;&gt;"임대중",F59&lt;&gt;"상가",G59=""),"",G59+H59*100)</f>
      </c>
      <c r="U59" s="50">
        <f>IF(T59="","",IF(T59&lt;=$C$7,"○ 전면적용","× 초과 (5%상한 미적용)"))</f>
      </c>
      <c r="V59" s="50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50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9">
        <f>IF(OR($A59="",O59&lt;&gt;"임대중"),"",IF(H59="",0,H59)+IF(I59="",0,I59))</f>
      </c>
      <c r="Y59" s="49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4"/>
      <c r="AA59" s="51"/>
      <c r="AB59" s="44"/>
      <c r="AC59" s="50">
        <f>IF($A59="","",IF(O59="공실","공실",IF(O59="자가사용","자가사용",IF(L59="","만료일 없음",IF(L59&lt;$C$6,"만료 경과",IF(L59&lt;=EDATE($C$6,12),"12개월 내","12개월 초과"))))))</f>
      </c>
      <c r="AD59" s="50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2">
        <f>IF(OR($A59="",C59=""),"",ROUND(C59*IF($G$9="평",3.305785,1),2))</f>
      </c>
      <c r="AF59" s="52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4"/>
      <c r="G60" s="45"/>
      <c r="H60" s="45"/>
      <c r="I60" s="45"/>
      <c r="J60" s="46"/>
      <c r="K60" s="46"/>
      <c r="L60" s="46"/>
      <c r="M60" s="44"/>
      <c r="N60" s="44"/>
      <c r="O60" s="44"/>
      <c r="P60" s="43"/>
      <c r="Q60" s="47">
        <f>IF(OR($A60="",C60=""),"",AE60/3.305785)</f>
      </c>
      <c r="R60" s="47">
        <f>IF(OR($A60="",D60=""),"",AF60/3.305785)</f>
      </c>
      <c r="S60" s="48">
        <f>IF(OR($A60="",C60="",D60=""),"",IF(C60&gt;0,D60/C60*100,""))</f>
      </c>
      <c r="T60" s="49">
        <f>IF(OR($A60="",O60&lt;&gt;"임대중",F60&lt;&gt;"상가",G60=""),"",G60+H60*100)</f>
      </c>
      <c r="U60" s="50">
        <f>IF(T60="","",IF(T60&lt;=$C$7,"○ 전면적용","× 초과 (5%상한 미적용)"))</f>
      </c>
      <c r="V60" s="50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50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9">
        <f>IF(OR($A60="",O60&lt;&gt;"임대중"),"",IF(H60="",0,H60)+IF(I60="",0,I60))</f>
      </c>
      <c r="Y60" s="49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4"/>
      <c r="AA60" s="51"/>
      <c r="AB60" s="44"/>
      <c r="AC60" s="50">
        <f>IF($A60="","",IF(O60="공실","공실",IF(O60="자가사용","자가사용",IF(L60="","만료일 없음",IF(L60&lt;$C$6,"만료 경과",IF(L60&lt;=EDATE($C$6,12),"12개월 내","12개월 초과"))))))</f>
      </c>
      <c r="AD60" s="50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2">
        <f>IF(OR($A60="",C60=""),"",ROUND(C60*IF($G$9="평",3.305785,1),2))</f>
      </c>
      <c r="AF60" s="52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4"/>
      <c r="G61" s="45"/>
      <c r="H61" s="45"/>
      <c r="I61" s="45"/>
      <c r="J61" s="46"/>
      <c r="K61" s="46"/>
      <c r="L61" s="46"/>
      <c r="M61" s="44"/>
      <c r="N61" s="44"/>
      <c r="O61" s="44"/>
      <c r="P61" s="43"/>
      <c r="Q61" s="47">
        <f>IF(OR($A61="",C61=""),"",AE61/3.305785)</f>
      </c>
      <c r="R61" s="47">
        <f>IF(OR($A61="",D61=""),"",AF61/3.305785)</f>
      </c>
      <c r="S61" s="48">
        <f>IF(OR($A61="",C61="",D61=""),"",IF(C61&gt;0,D61/C61*100,""))</f>
      </c>
      <c r="T61" s="49">
        <f>IF(OR($A61="",O61&lt;&gt;"임대중",F61&lt;&gt;"상가",G61=""),"",G61+H61*100)</f>
      </c>
      <c r="U61" s="50">
        <f>IF(T61="","",IF(T61&lt;=$C$7,"○ 전면적용","× 초과 (5%상한 미적용)"))</f>
      </c>
      <c r="V61" s="50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50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9">
        <f>IF(OR($A61="",O61&lt;&gt;"임대중"),"",IF(H61="",0,H61)+IF(I61="",0,I61))</f>
      </c>
      <c r="Y61" s="49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4"/>
      <c r="AA61" s="51"/>
      <c r="AB61" s="44"/>
      <c r="AC61" s="50">
        <f>IF($A61="","",IF(O61="공실","공실",IF(O61="자가사용","자가사용",IF(L61="","만료일 없음",IF(L61&lt;$C$6,"만료 경과",IF(L61&lt;=EDATE($C$6,12),"12개월 내","12개월 초과"))))))</f>
      </c>
      <c r="AD61" s="50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2">
        <f>IF(OR($A61="",C61=""),"",ROUND(C61*IF($G$9="평",3.305785,1),2))</f>
      </c>
      <c r="AF61" s="52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4"/>
      <c r="G62" s="45"/>
      <c r="H62" s="45"/>
      <c r="I62" s="45"/>
      <c r="J62" s="46"/>
      <c r="K62" s="46"/>
      <c r="L62" s="46"/>
      <c r="M62" s="44"/>
      <c r="N62" s="44"/>
      <c r="O62" s="44"/>
      <c r="P62" s="43"/>
      <c r="Q62" s="47">
        <f>IF(OR($A62="",C62=""),"",AE62/3.305785)</f>
      </c>
      <c r="R62" s="47">
        <f>IF(OR($A62="",D62=""),"",AF62/3.305785)</f>
      </c>
      <c r="S62" s="48">
        <f>IF(OR($A62="",C62="",D62=""),"",IF(C62&gt;0,D62/C62*100,""))</f>
      </c>
      <c r="T62" s="49">
        <f>IF(OR($A62="",O62&lt;&gt;"임대중",F62&lt;&gt;"상가",G62=""),"",G62+H62*100)</f>
      </c>
      <c r="U62" s="50">
        <f>IF(T62="","",IF(T62&lt;=$C$7,"○ 전면적용","× 초과 (5%상한 미적용)"))</f>
      </c>
      <c r="V62" s="50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50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9">
        <f>IF(OR($A62="",O62&lt;&gt;"임대중"),"",IF(H62="",0,H62)+IF(I62="",0,I62))</f>
      </c>
      <c r="Y62" s="49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4"/>
      <c r="AA62" s="51"/>
      <c r="AB62" s="44"/>
      <c r="AC62" s="50">
        <f>IF($A62="","",IF(O62="공실","공실",IF(O62="자가사용","자가사용",IF(L62="","만료일 없음",IF(L62&lt;$C$6,"만료 경과",IF(L62&lt;=EDATE($C$6,12),"12개월 내","12개월 초과"))))))</f>
      </c>
      <c r="AD62" s="50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2">
        <f>IF(OR($A62="",C62=""),"",ROUND(C62*IF($G$9="평",3.305785,1),2))</f>
      </c>
      <c r="AF62" s="52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4"/>
      <c r="G63" s="45"/>
      <c r="H63" s="45"/>
      <c r="I63" s="45"/>
      <c r="J63" s="46"/>
      <c r="K63" s="46"/>
      <c r="L63" s="46"/>
      <c r="M63" s="44"/>
      <c r="N63" s="44"/>
      <c r="O63" s="44"/>
      <c r="P63" s="43"/>
      <c r="Q63" s="47">
        <f>IF(OR($A63="",C63=""),"",AE63/3.305785)</f>
      </c>
      <c r="R63" s="47">
        <f>IF(OR($A63="",D63=""),"",AF63/3.305785)</f>
      </c>
      <c r="S63" s="48">
        <f>IF(OR($A63="",C63="",D63=""),"",IF(C63&gt;0,D63/C63*100,""))</f>
      </c>
      <c r="T63" s="49">
        <f>IF(OR($A63="",O63&lt;&gt;"임대중",F63&lt;&gt;"상가",G63=""),"",G63+H63*100)</f>
      </c>
      <c r="U63" s="50">
        <f>IF(T63="","",IF(T63&lt;=$C$7,"○ 전면적용","× 초과 (5%상한 미적용)"))</f>
      </c>
      <c r="V63" s="50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50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9">
        <f>IF(OR($A63="",O63&lt;&gt;"임대중"),"",IF(H63="",0,H63)+IF(I63="",0,I63))</f>
      </c>
      <c r="Y63" s="49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4"/>
      <c r="AA63" s="51"/>
      <c r="AB63" s="44"/>
      <c r="AC63" s="50">
        <f>IF($A63="","",IF(O63="공실","공실",IF(O63="자가사용","자가사용",IF(L63="","만료일 없음",IF(L63&lt;$C$6,"만료 경과",IF(L63&lt;=EDATE($C$6,12),"12개월 내","12개월 초과"))))))</f>
      </c>
      <c r="AD63" s="50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2">
        <f>IF(OR($A63="",C63=""),"",ROUND(C63*IF($G$9="평",3.305785,1),2))</f>
      </c>
      <c r="AF63" s="52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4"/>
      <c r="G64" s="45"/>
      <c r="H64" s="45"/>
      <c r="I64" s="45"/>
      <c r="J64" s="46"/>
      <c r="K64" s="46"/>
      <c r="L64" s="46"/>
      <c r="M64" s="44"/>
      <c r="N64" s="44"/>
      <c r="O64" s="44"/>
      <c r="P64" s="43"/>
      <c r="Q64" s="47">
        <f>IF(OR($A64="",C64=""),"",AE64/3.305785)</f>
      </c>
      <c r="R64" s="47">
        <f>IF(OR($A64="",D64=""),"",AF64/3.305785)</f>
      </c>
      <c r="S64" s="48">
        <f>IF(OR($A64="",C64="",D64=""),"",IF(C64&gt;0,D64/C64*100,""))</f>
      </c>
      <c r="T64" s="49">
        <f>IF(OR($A64="",O64&lt;&gt;"임대중",F64&lt;&gt;"상가",G64=""),"",G64+H64*100)</f>
      </c>
      <c r="U64" s="50">
        <f>IF(T64="","",IF(T64&lt;=$C$7,"○ 전면적용","× 초과 (5%상한 미적용)"))</f>
      </c>
      <c r="V64" s="50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50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9">
        <f>IF(OR($A64="",O64&lt;&gt;"임대중"),"",IF(H64="",0,H64)+IF(I64="",0,I64))</f>
      </c>
      <c r="Y64" s="49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4"/>
      <c r="AA64" s="51"/>
      <c r="AB64" s="44"/>
      <c r="AC64" s="50">
        <f>IF($A64="","",IF(O64="공실","공실",IF(O64="자가사용","자가사용",IF(L64="","만료일 없음",IF(L64&lt;$C$6,"만료 경과",IF(L64&lt;=EDATE($C$6,12),"12개월 내","12개월 초과"))))))</f>
      </c>
      <c r="AD64" s="50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2">
        <f>IF(OR($A64="",C64=""),"",ROUND(C64*IF($G$9="평",3.305785,1),2))</f>
      </c>
      <c r="AF64" s="52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4"/>
      <c r="G65" s="45"/>
      <c r="H65" s="45"/>
      <c r="I65" s="45"/>
      <c r="J65" s="46"/>
      <c r="K65" s="46"/>
      <c r="L65" s="46"/>
      <c r="M65" s="44"/>
      <c r="N65" s="44"/>
      <c r="O65" s="44"/>
      <c r="P65" s="43"/>
      <c r="Q65" s="47">
        <f>IF(OR($A65="",C65=""),"",AE65/3.305785)</f>
      </c>
      <c r="R65" s="47">
        <f>IF(OR($A65="",D65=""),"",AF65/3.305785)</f>
      </c>
      <c r="S65" s="48">
        <f>IF(OR($A65="",C65="",D65=""),"",IF(C65&gt;0,D65/C65*100,""))</f>
      </c>
      <c r="T65" s="49">
        <f>IF(OR($A65="",O65&lt;&gt;"임대중",F65&lt;&gt;"상가",G65=""),"",G65+H65*100)</f>
      </c>
      <c r="U65" s="50">
        <f>IF(T65="","",IF(T65&lt;=$C$7,"○ 전면적용","× 초과 (5%상한 미적용)"))</f>
      </c>
      <c r="V65" s="50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50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9">
        <f>IF(OR($A65="",O65&lt;&gt;"임대중"),"",IF(H65="",0,H65)+IF(I65="",0,I65))</f>
      </c>
      <c r="Y65" s="49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4"/>
      <c r="AA65" s="51"/>
      <c r="AB65" s="44"/>
      <c r="AC65" s="50">
        <f>IF($A65="","",IF(O65="공실","공실",IF(O65="자가사용","자가사용",IF(L65="","만료일 없음",IF(L65&lt;$C$6,"만료 경과",IF(L65&lt;=EDATE($C$6,12),"12개월 내","12개월 초과"))))))</f>
      </c>
      <c r="AD65" s="50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2">
        <f>IF(OR($A65="",C65=""),"",ROUND(C65*IF($G$9="평",3.305785,1),2))</f>
      </c>
      <c r="AF65" s="52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4"/>
      <c r="G66" s="45"/>
      <c r="H66" s="45"/>
      <c r="I66" s="45"/>
      <c r="J66" s="46"/>
      <c r="K66" s="46"/>
      <c r="L66" s="46"/>
      <c r="M66" s="44"/>
      <c r="N66" s="44"/>
      <c r="O66" s="44"/>
      <c r="P66" s="43"/>
      <c r="Q66" s="47">
        <f>IF(OR($A66="",C66=""),"",AE66/3.305785)</f>
      </c>
      <c r="R66" s="47">
        <f>IF(OR($A66="",D66=""),"",AF66/3.305785)</f>
      </c>
      <c r="S66" s="48">
        <f>IF(OR($A66="",C66="",D66=""),"",IF(C66&gt;0,D66/C66*100,""))</f>
      </c>
      <c r="T66" s="49">
        <f>IF(OR($A66="",O66&lt;&gt;"임대중",F66&lt;&gt;"상가",G66=""),"",G66+H66*100)</f>
      </c>
      <c r="U66" s="50">
        <f>IF(T66="","",IF(T66&lt;=$C$7,"○ 전면적용","× 초과 (5%상한 미적용)"))</f>
      </c>
      <c r="V66" s="50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50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9">
        <f>IF(OR($A66="",O66&lt;&gt;"임대중"),"",IF(H66="",0,H66)+IF(I66="",0,I66))</f>
      </c>
      <c r="Y66" s="49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4"/>
      <c r="AA66" s="51"/>
      <c r="AB66" s="44"/>
      <c r="AC66" s="50">
        <f>IF($A66="","",IF(O66="공실","공실",IF(O66="자가사용","자가사용",IF(L66="","만료일 없음",IF(L66&lt;$C$6,"만료 경과",IF(L66&lt;=EDATE($C$6,12),"12개월 내","12개월 초과"))))))</f>
      </c>
      <c r="AD66" s="50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2">
        <f>IF(OR($A66="",C66=""),"",ROUND(C66*IF($G$9="평",3.305785,1),2))</f>
      </c>
      <c r="AF66" s="52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4"/>
      <c r="G67" s="45"/>
      <c r="H67" s="45"/>
      <c r="I67" s="45"/>
      <c r="J67" s="46"/>
      <c r="K67" s="46"/>
      <c r="L67" s="46"/>
      <c r="M67" s="44"/>
      <c r="N67" s="44"/>
      <c r="O67" s="44"/>
      <c r="P67" s="43"/>
      <c r="Q67" s="47">
        <f>IF(OR($A67="",C67=""),"",AE67/3.305785)</f>
      </c>
      <c r="R67" s="47">
        <f>IF(OR($A67="",D67=""),"",AF67/3.305785)</f>
      </c>
      <c r="S67" s="48">
        <f>IF(OR($A67="",C67="",D67=""),"",IF(C67&gt;0,D67/C67*100,""))</f>
      </c>
      <c r="T67" s="49">
        <f>IF(OR($A67="",O67&lt;&gt;"임대중",F67&lt;&gt;"상가",G67=""),"",G67+H67*100)</f>
      </c>
      <c r="U67" s="50">
        <f>IF(T67="","",IF(T67&lt;=$C$7,"○ 전면적용","× 초과 (5%상한 미적용)"))</f>
      </c>
      <c r="V67" s="50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50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9">
        <f>IF(OR($A67="",O67&lt;&gt;"임대중"),"",IF(H67="",0,H67)+IF(I67="",0,I67))</f>
      </c>
      <c r="Y67" s="49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4"/>
      <c r="AA67" s="51"/>
      <c r="AB67" s="44"/>
      <c r="AC67" s="50">
        <f>IF($A67="","",IF(O67="공실","공실",IF(O67="자가사용","자가사용",IF(L67="","만료일 없음",IF(L67&lt;$C$6,"만료 경과",IF(L67&lt;=EDATE($C$6,12),"12개월 내","12개월 초과"))))))</f>
      </c>
      <c r="AD67" s="50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2">
        <f>IF(OR($A67="",C67=""),"",ROUND(C67*IF($G$9="평",3.305785,1),2))</f>
      </c>
      <c r="AF67" s="52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4"/>
      <c r="G68" s="45"/>
      <c r="H68" s="45"/>
      <c r="I68" s="45"/>
      <c r="J68" s="46"/>
      <c r="K68" s="46"/>
      <c r="L68" s="46"/>
      <c r="M68" s="44"/>
      <c r="N68" s="44"/>
      <c r="O68" s="44"/>
      <c r="P68" s="43"/>
      <c r="Q68" s="47">
        <f>IF(OR($A68="",C68=""),"",AE68/3.305785)</f>
      </c>
      <c r="R68" s="47">
        <f>IF(OR($A68="",D68=""),"",AF68/3.305785)</f>
      </c>
      <c r="S68" s="48">
        <f>IF(OR($A68="",C68="",D68=""),"",IF(C68&gt;0,D68/C68*100,""))</f>
      </c>
      <c r="T68" s="49">
        <f>IF(OR($A68="",O68&lt;&gt;"임대중",F68&lt;&gt;"상가",G68=""),"",G68+H68*100)</f>
      </c>
      <c r="U68" s="50">
        <f>IF(T68="","",IF(T68&lt;=$C$7,"○ 전면적용","× 초과 (5%상한 미적용)"))</f>
      </c>
      <c r="V68" s="50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50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9">
        <f>IF(OR($A68="",O68&lt;&gt;"임대중"),"",IF(H68="",0,H68)+IF(I68="",0,I68))</f>
      </c>
      <c r="Y68" s="49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4"/>
      <c r="AA68" s="51"/>
      <c r="AB68" s="44"/>
      <c r="AC68" s="50">
        <f>IF($A68="","",IF(O68="공실","공실",IF(O68="자가사용","자가사용",IF(L68="","만료일 없음",IF(L68&lt;$C$6,"만료 경과",IF(L68&lt;=EDATE($C$6,12),"12개월 내","12개월 초과"))))))</f>
      </c>
      <c r="AD68" s="50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2">
        <f>IF(OR($A68="",C68=""),"",ROUND(C68*IF($G$9="평",3.305785,1),2))</f>
      </c>
      <c r="AF68" s="52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4"/>
      <c r="G69" s="45"/>
      <c r="H69" s="45"/>
      <c r="I69" s="45"/>
      <c r="J69" s="46"/>
      <c r="K69" s="46"/>
      <c r="L69" s="46"/>
      <c r="M69" s="44"/>
      <c r="N69" s="44"/>
      <c r="O69" s="44"/>
      <c r="P69" s="43"/>
      <c r="Q69" s="47">
        <f>IF(OR($A69="",C69=""),"",AE69/3.305785)</f>
      </c>
      <c r="R69" s="47">
        <f>IF(OR($A69="",D69=""),"",AF69/3.305785)</f>
      </c>
      <c r="S69" s="48">
        <f>IF(OR($A69="",C69="",D69=""),"",IF(C69&gt;0,D69/C69*100,""))</f>
      </c>
      <c r="T69" s="49">
        <f>IF(OR($A69="",O69&lt;&gt;"임대중",F69&lt;&gt;"상가",G69=""),"",G69+H69*100)</f>
      </c>
      <c r="U69" s="50">
        <f>IF(T69="","",IF(T69&lt;=$C$7,"○ 전면적용","× 초과 (5%상한 미적용)"))</f>
      </c>
      <c r="V69" s="50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50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9">
        <f>IF(OR($A69="",O69&lt;&gt;"임대중"),"",IF(H69="",0,H69)+IF(I69="",0,I69))</f>
      </c>
      <c r="Y69" s="49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4"/>
      <c r="AA69" s="51"/>
      <c r="AB69" s="44"/>
      <c r="AC69" s="50">
        <f>IF($A69="","",IF(O69="공실","공실",IF(O69="자가사용","자가사용",IF(L69="","만료일 없음",IF(L69&lt;$C$6,"만료 경과",IF(L69&lt;=EDATE($C$6,12),"12개월 내","12개월 초과"))))))</f>
      </c>
      <c r="AD69" s="50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2">
        <f>IF(OR($A69="",C69=""),"",ROUND(C69*IF($G$9="평",3.305785,1),2))</f>
      </c>
      <c r="AF69" s="52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4"/>
      <c r="G70" s="45"/>
      <c r="H70" s="45"/>
      <c r="I70" s="45"/>
      <c r="J70" s="46"/>
      <c r="K70" s="46"/>
      <c r="L70" s="46"/>
      <c r="M70" s="44"/>
      <c r="N70" s="44"/>
      <c r="O70" s="44"/>
      <c r="P70" s="43"/>
      <c r="Q70" s="47">
        <f>IF(OR($A70="",C70=""),"",AE70/3.305785)</f>
      </c>
      <c r="R70" s="47">
        <f>IF(OR($A70="",D70=""),"",AF70/3.305785)</f>
      </c>
      <c r="S70" s="48">
        <f>IF(OR($A70="",C70="",D70=""),"",IF(C70&gt;0,D70/C70*100,""))</f>
      </c>
      <c r="T70" s="49">
        <f>IF(OR($A70="",O70&lt;&gt;"임대중",F70&lt;&gt;"상가",G70=""),"",G70+H70*100)</f>
      </c>
      <c r="U70" s="50">
        <f>IF(T70="","",IF(T70&lt;=$C$7,"○ 전면적용","× 초과 (5%상한 미적용)"))</f>
      </c>
      <c r="V70" s="50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50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9">
        <f>IF(OR($A70="",O70&lt;&gt;"임대중"),"",IF(H70="",0,H70)+IF(I70="",0,I70))</f>
      </c>
      <c r="Y70" s="49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4"/>
      <c r="AA70" s="51"/>
      <c r="AB70" s="44"/>
      <c r="AC70" s="50">
        <f>IF($A70="","",IF(O70="공실","공실",IF(O70="자가사용","자가사용",IF(L70="","만료일 없음",IF(L70&lt;$C$6,"만료 경과",IF(L70&lt;=EDATE($C$6,12),"12개월 내","12개월 초과"))))))</f>
      </c>
      <c r="AD70" s="50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2">
        <f>IF(OR($A70="",C70=""),"",ROUND(C70*IF($G$9="평",3.305785,1),2))</f>
      </c>
      <c r="AF70" s="52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4"/>
      <c r="G71" s="45"/>
      <c r="H71" s="45"/>
      <c r="I71" s="45"/>
      <c r="J71" s="46"/>
      <c r="K71" s="46"/>
      <c r="L71" s="46"/>
      <c r="M71" s="44"/>
      <c r="N71" s="44"/>
      <c r="O71" s="44"/>
      <c r="P71" s="43"/>
      <c r="Q71" s="47">
        <f>IF(OR($A71="",C71=""),"",AE71/3.305785)</f>
      </c>
      <c r="R71" s="47">
        <f>IF(OR($A71="",D71=""),"",AF71/3.305785)</f>
      </c>
      <c r="S71" s="48">
        <f>IF(OR($A71="",C71="",D71=""),"",IF(C71&gt;0,D71/C71*100,""))</f>
      </c>
      <c r="T71" s="49">
        <f>IF(OR($A71="",O71&lt;&gt;"임대중",F71&lt;&gt;"상가",G71=""),"",G71+H71*100)</f>
      </c>
      <c r="U71" s="50">
        <f>IF(T71="","",IF(T71&lt;=$C$7,"○ 전면적용","× 초과 (5%상한 미적용)"))</f>
      </c>
      <c r="V71" s="50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50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9">
        <f>IF(OR($A71="",O71&lt;&gt;"임대중"),"",IF(H71="",0,H71)+IF(I71="",0,I71))</f>
      </c>
      <c r="Y71" s="49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4"/>
      <c r="AA71" s="51"/>
      <c r="AB71" s="44"/>
      <c r="AC71" s="50">
        <f>IF($A71="","",IF(O71="공실","공실",IF(O71="자가사용","자가사용",IF(L71="","만료일 없음",IF(L71&lt;$C$6,"만료 경과",IF(L71&lt;=EDATE($C$6,12),"12개월 내","12개월 초과"))))))</f>
      </c>
      <c r="AD71" s="50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2">
        <f>IF(OR($A71="",C71=""),"",ROUND(C71*IF($G$9="평",3.305785,1),2))</f>
      </c>
      <c r="AF71" s="52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4"/>
      <c r="G72" s="45"/>
      <c r="H72" s="45"/>
      <c r="I72" s="45"/>
      <c r="J72" s="46"/>
      <c r="K72" s="46"/>
      <c r="L72" s="46"/>
      <c r="M72" s="44"/>
      <c r="N72" s="44"/>
      <c r="O72" s="44"/>
      <c r="P72" s="43"/>
      <c r="Q72" s="47">
        <f>IF(OR($A72="",C72=""),"",AE72/3.305785)</f>
      </c>
      <c r="R72" s="47">
        <f>IF(OR($A72="",D72=""),"",AF72/3.305785)</f>
      </c>
      <c r="S72" s="48">
        <f>IF(OR($A72="",C72="",D72=""),"",IF(C72&gt;0,D72/C72*100,""))</f>
      </c>
      <c r="T72" s="49">
        <f>IF(OR($A72="",O72&lt;&gt;"임대중",F72&lt;&gt;"상가",G72=""),"",G72+H72*100)</f>
      </c>
      <c r="U72" s="50">
        <f>IF(T72="","",IF(T72&lt;=$C$7,"○ 전면적용","× 초과 (5%상한 미적용)"))</f>
      </c>
      <c r="V72" s="50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50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9">
        <f>IF(OR($A72="",O72&lt;&gt;"임대중"),"",IF(H72="",0,H72)+IF(I72="",0,I72))</f>
      </c>
      <c r="Y72" s="49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4"/>
      <c r="AA72" s="51"/>
      <c r="AB72" s="44"/>
      <c r="AC72" s="50">
        <f>IF($A72="","",IF(O72="공실","공실",IF(O72="자가사용","자가사용",IF(L72="","만료일 없음",IF(L72&lt;$C$6,"만료 경과",IF(L72&lt;=EDATE($C$6,12),"12개월 내","12개월 초과"))))))</f>
      </c>
      <c r="AD72" s="50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2">
        <f>IF(OR($A72="",C72=""),"",ROUND(C72*IF($G$9="평",3.305785,1),2))</f>
      </c>
      <c r="AF72" s="52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4"/>
      <c r="G73" s="45"/>
      <c r="H73" s="45"/>
      <c r="I73" s="45"/>
      <c r="J73" s="46"/>
      <c r="K73" s="46"/>
      <c r="L73" s="46"/>
      <c r="M73" s="44"/>
      <c r="N73" s="44"/>
      <c r="O73" s="44"/>
      <c r="P73" s="43"/>
      <c r="Q73" s="47">
        <f>IF(OR($A73="",C73=""),"",AE73/3.305785)</f>
      </c>
      <c r="R73" s="47">
        <f>IF(OR($A73="",D73=""),"",AF73/3.305785)</f>
      </c>
      <c r="S73" s="48">
        <f>IF(OR($A73="",C73="",D73=""),"",IF(C73&gt;0,D73/C73*100,""))</f>
      </c>
      <c r="T73" s="49">
        <f>IF(OR($A73="",O73&lt;&gt;"임대중",F73&lt;&gt;"상가",G73=""),"",G73+H73*100)</f>
      </c>
      <c r="U73" s="50">
        <f>IF(T73="","",IF(T73&lt;=$C$7,"○ 전면적용","× 초과 (5%상한 미적용)"))</f>
      </c>
      <c r="V73" s="50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50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9">
        <f>IF(OR($A73="",O73&lt;&gt;"임대중"),"",IF(H73="",0,H73)+IF(I73="",0,I73))</f>
      </c>
      <c r="Y73" s="49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4"/>
      <c r="AA73" s="51"/>
      <c r="AB73" s="44"/>
      <c r="AC73" s="50">
        <f>IF($A73="","",IF(O73="공실","공실",IF(O73="자가사용","자가사용",IF(L73="","만료일 없음",IF(L73&lt;$C$6,"만료 경과",IF(L73&lt;=EDATE($C$6,12),"12개월 내","12개월 초과"))))))</f>
      </c>
      <c r="AD73" s="50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2">
        <f>IF(OR($A73="",C73=""),"",ROUND(C73*IF($G$9="평",3.305785,1),2))</f>
      </c>
      <c r="AF73" s="52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4"/>
      <c r="G74" s="45"/>
      <c r="H74" s="45"/>
      <c r="I74" s="45"/>
      <c r="J74" s="46"/>
      <c r="K74" s="46"/>
      <c r="L74" s="46"/>
      <c r="M74" s="44"/>
      <c r="N74" s="44"/>
      <c r="O74" s="44"/>
      <c r="P74" s="43"/>
      <c r="Q74" s="47">
        <f>IF(OR($A74="",C74=""),"",AE74/3.305785)</f>
      </c>
      <c r="R74" s="47">
        <f>IF(OR($A74="",D74=""),"",AF74/3.305785)</f>
      </c>
      <c r="S74" s="48">
        <f>IF(OR($A74="",C74="",D74=""),"",IF(C74&gt;0,D74/C74*100,""))</f>
      </c>
      <c r="T74" s="49">
        <f>IF(OR($A74="",O74&lt;&gt;"임대중",F74&lt;&gt;"상가",G74=""),"",G74+H74*100)</f>
      </c>
      <c r="U74" s="50">
        <f>IF(T74="","",IF(T74&lt;=$C$7,"○ 전면적용","× 초과 (5%상한 미적용)"))</f>
      </c>
      <c r="V74" s="50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50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9">
        <f>IF(OR($A74="",O74&lt;&gt;"임대중"),"",IF(H74="",0,H74)+IF(I74="",0,I74))</f>
      </c>
      <c r="Y74" s="49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4"/>
      <c r="AA74" s="51"/>
      <c r="AB74" s="44"/>
      <c r="AC74" s="50">
        <f>IF($A74="","",IF(O74="공실","공실",IF(O74="자가사용","자가사용",IF(L74="","만료일 없음",IF(L74&lt;$C$6,"만료 경과",IF(L74&lt;=EDATE($C$6,12),"12개월 내","12개월 초과"))))))</f>
      </c>
      <c r="AD74" s="50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2">
        <f>IF(OR($A74="",C74=""),"",ROUND(C74*IF($G$9="평",3.305785,1),2))</f>
      </c>
      <c r="AF74" s="52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4"/>
      <c r="G75" s="45"/>
      <c r="H75" s="45"/>
      <c r="I75" s="45"/>
      <c r="J75" s="46"/>
      <c r="K75" s="46"/>
      <c r="L75" s="46"/>
      <c r="M75" s="44"/>
      <c r="N75" s="44"/>
      <c r="O75" s="44"/>
      <c r="P75" s="43"/>
      <c r="Q75" s="47">
        <f>IF(OR($A75="",C75=""),"",AE75/3.305785)</f>
      </c>
      <c r="R75" s="47">
        <f>IF(OR($A75="",D75=""),"",AF75/3.305785)</f>
      </c>
      <c r="S75" s="48">
        <f>IF(OR($A75="",C75="",D75=""),"",IF(C75&gt;0,D75/C75*100,""))</f>
      </c>
      <c r="T75" s="49">
        <f>IF(OR($A75="",O75&lt;&gt;"임대중",F75&lt;&gt;"상가",G75=""),"",G75+H75*100)</f>
      </c>
      <c r="U75" s="50">
        <f>IF(T75="","",IF(T75&lt;=$C$7,"○ 전면적용","× 초과 (5%상한 미적용)"))</f>
      </c>
      <c r="V75" s="50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50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9">
        <f>IF(OR($A75="",O75&lt;&gt;"임대중"),"",IF(H75="",0,H75)+IF(I75="",0,I75))</f>
      </c>
      <c r="Y75" s="49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4"/>
      <c r="AA75" s="51"/>
      <c r="AB75" s="44"/>
      <c r="AC75" s="50">
        <f>IF($A75="","",IF(O75="공실","공실",IF(O75="자가사용","자가사용",IF(L75="","만료일 없음",IF(L75&lt;$C$6,"만료 경과",IF(L75&lt;=EDATE($C$6,12),"12개월 내","12개월 초과"))))))</f>
      </c>
      <c r="AD75" s="50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2">
        <f>IF(OR($A75="",C75=""),"",ROUND(C75*IF($G$9="평",3.305785,1),2))</f>
      </c>
      <c r="AF75" s="52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4"/>
      <c r="G76" s="45"/>
      <c r="H76" s="45"/>
      <c r="I76" s="45"/>
      <c r="J76" s="46"/>
      <c r="K76" s="46"/>
      <c r="L76" s="46"/>
      <c r="M76" s="44"/>
      <c r="N76" s="44"/>
      <c r="O76" s="44"/>
      <c r="P76" s="43"/>
      <c r="Q76" s="47">
        <f>IF(OR($A76="",C76=""),"",AE76/3.305785)</f>
      </c>
      <c r="R76" s="47">
        <f>IF(OR($A76="",D76=""),"",AF76/3.305785)</f>
      </c>
      <c r="S76" s="48">
        <f>IF(OR($A76="",C76="",D76=""),"",IF(C76&gt;0,D76/C76*100,""))</f>
      </c>
      <c r="T76" s="49">
        <f>IF(OR($A76="",O76&lt;&gt;"임대중",F76&lt;&gt;"상가",G76=""),"",G76+H76*100)</f>
      </c>
      <c r="U76" s="50">
        <f>IF(T76="","",IF(T76&lt;=$C$7,"○ 전면적용","× 초과 (5%상한 미적용)"))</f>
      </c>
      <c r="V76" s="50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50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9">
        <f>IF(OR($A76="",O76&lt;&gt;"임대중"),"",IF(H76="",0,H76)+IF(I76="",0,I76))</f>
      </c>
      <c r="Y76" s="49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4"/>
      <c r="AA76" s="51"/>
      <c r="AB76" s="44"/>
      <c r="AC76" s="50">
        <f>IF($A76="","",IF(O76="공실","공실",IF(O76="자가사용","자가사용",IF(L76="","만료일 없음",IF(L76&lt;$C$6,"만료 경과",IF(L76&lt;=EDATE($C$6,12),"12개월 내","12개월 초과"))))))</f>
      </c>
      <c r="AD76" s="50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2">
        <f>IF(OR($A76="",C76=""),"",ROUND(C76*IF($G$9="평",3.305785,1),2))</f>
      </c>
      <c r="AF76" s="52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4"/>
      <c r="G77" s="45"/>
      <c r="H77" s="45"/>
      <c r="I77" s="45"/>
      <c r="J77" s="46"/>
      <c r="K77" s="46"/>
      <c r="L77" s="46"/>
      <c r="M77" s="44"/>
      <c r="N77" s="44"/>
      <c r="O77" s="44"/>
      <c r="P77" s="43"/>
      <c r="Q77" s="47">
        <f>IF(OR($A77="",C77=""),"",AE77/3.305785)</f>
      </c>
      <c r="R77" s="47">
        <f>IF(OR($A77="",D77=""),"",AF77/3.305785)</f>
      </c>
      <c r="S77" s="48">
        <f>IF(OR($A77="",C77="",D77=""),"",IF(C77&gt;0,D77/C77*100,""))</f>
      </c>
      <c r="T77" s="49">
        <f>IF(OR($A77="",O77&lt;&gt;"임대중",F77&lt;&gt;"상가",G77=""),"",G77+H77*100)</f>
      </c>
      <c r="U77" s="50">
        <f>IF(T77="","",IF(T77&lt;=$C$7,"○ 전면적용","× 초과 (5%상한 미적용)"))</f>
      </c>
      <c r="V77" s="50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50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9">
        <f>IF(OR($A77="",O77&lt;&gt;"임대중"),"",IF(H77="",0,H77)+IF(I77="",0,I77))</f>
      </c>
      <c r="Y77" s="49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4"/>
      <c r="AA77" s="51"/>
      <c r="AB77" s="44"/>
      <c r="AC77" s="50">
        <f>IF($A77="","",IF(O77="공실","공실",IF(O77="자가사용","자가사용",IF(L77="","만료일 없음",IF(L77&lt;$C$6,"만료 경과",IF(L77&lt;=EDATE($C$6,12),"12개월 내","12개월 초과"))))))</f>
      </c>
      <c r="AD77" s="50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2">
        <f>IF(OR($A77="",C77=""),"",ROUND(C77*IF($G$9="평",3.305785,1),2))</f>
      </c>
      <c r="AF77" s="52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4"/>
      <c r="G78" s="45"/>
      <c r="H78" s="45"/>
      <c r="I78" s="45"/>
      <c r="J78" s="46"/>
      <c r="K78" s="46"/>
      <c r="L78" s="46"/>
      <c r="M78" s="44"/>
      <c r="N78" s="44"/>
      <c r="O78" s="44"/>
      <c r="P78" s="43"/>
      <c r="Q78" s="47">
        <f>IF(OR($A78="",C78=""),"",AE78/3.305785)</f>
      </c>
      <c r="R78" s="47">
        <f>IF(OR($A78="",D78=""),"",AF78/3.305785)</f>
      </c>
      <c r="S78" s="48">
        <f>IF(OR($A78="",C78="",D78=""),"",IF(C78&gt;0,D78/C78*100,""))</f>
      </c>
      <c r="T78" s="49">
        <f>IF(OR($A78="",O78&lt;&gt;"임대중",F78&lt;&gt;"상가",G78=""),"",G78+H78*100)</f>
      </c>
      <c r="U78" s="50">
        <f>IF(T78="","",IF(T78&lt;=$C$7,"○ 전면적용","× 초과 (5%상한 미적용)"))</f>
      </c>
      <c r="V78" s="50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50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9">
        <f>IF(OR($A78="",O78&lt;&gt;"임대중"),"",IF(H78="",0,H78)+IF(I78="",0,I78))</f>
      </c>
      <c r="Y78" s="49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4"/>
      <c r="AA78" s="51"/>
      <c r="AB78" s="44"/>
      <c r="AC78" s="50">
        <f>IF($A78="","",IF(O78="공실","공실",IF(O78="자가사용","자가사용",IF(L78="","만료일 없음",IF(L78&lt;$C$6,"만료 경과",IF(L78&lt;=EDATE($C$6,12),"12개월 내","12개월 초과"))))))</f>
      </c>
      <c r="AD78" s="50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2">
        <f>IF(OR($A78="",C78=""),"",ROUND(C78*IF($G$9="평",3.305785,1),2))</f>
      </c>
      <c r="AF78" s="52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4"/>
      <c r="G79" s="45"/>
      <c r="H79" s="45"/>
      <c r="I79" s="45"/>
      <c r="J79" s="46"/>
      <c r="K79" s="46"/>
      <c r="L79" s="46"/>
      <c r="M79" s="44"/>
      <c r="N79" s="44"/>
      <c r="O79" s="44"/>
      <c r="P79" s="43"/>
      <c r="Q79" s="47">
        <f>IF(OR($A79="",C79=""),"",AE79/3.305785)</f>
      </c>
      <c r="R79" s="47">
        <f>IF(OR($A79="",D79=""),"",AF79/3.305785)</f>
      </c>
      <c r="S79" s="48">
        <f>IF(OR($A79="",C79="",D79=""),"",IF(C79&gt;0,D79/C79*100,""))</f>
      </c>
      <c r="T79" s="49">
        <f>IF(OR($A79="",O79&lt;&gt;"임대중",F79&lt;&gt;"상가",G79=""),"",G79+H79*100)</f>
      </c>
      <c r="U79" s="50">
        <f>IF(T79="","",IF(T79&lt;=$C$7,"○ 전면적용","× 초과 (5%상한 미적용)"))</f>
      </c>
      <c r="V79" s="50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50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9">
        <f>IF(OR($A79="",O79&lt;&gt;"임대중"),"",IF(H79="",0,H79)+IF(I79="",0,I79))</f>
      </c>
      <c r="Y79" s="49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4"/>
      <c r="AA79" s="51"/>
      <c r="AB79" s="44"/>
      <c r="AC79" s="50">
        <f>IF($A79="","",IF(O79="공실","공실",IF(O79="자가사용","자가사용",IF(L79="","만료일 없음",IF(L79&lt;$C$6,"만료 경과",IF(L79&lt;=EDATE($C$6,12),"12개월 내","12개월 초과"))))))</f>
      </c>
      <c r="AD79" s="50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2">
        <f>IF(OR($A79="",C79=""),"",ROUND(C79*IF($G$9="평",3.305785,1),2))</f>
      </c>
      <c r="AF79" s="52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4"/>
      <c r="G80" s="45"/>
      <c r="H80" s="45"/>
      <c r="I80" s="45"/>
      <c r="J80" s="46"/>
      <c r="K80" s="46"/>
      <c r="L80" s="46"/>
      <c r="M80" s="44"/>
      <c r="N80" s="44"/>
      <c r="O80" s="44"/>
      <c r="P80" s="43"/>
      <c r="Q80" s="47">
        <f>IF(OR($A80="",C80=""),"",AE80/3.305785)</f>
      </c>
      <c r="R80" s="47">
        <f>IF(OR($A80="",D80=""),"",AF80/3.305785)</f>
      </c>
      <c r="S80" s="48">
        <f>IF(OR($A80="",C80="",D80=""),"",IF(C80&gt;0,D80/C80*100,""))</f>
      </c>
      <c r="T80" s="49">
        <f>IF(OR($A80="",O80&lt;&gt;"임대중",F80&lt;&gt;"상가",G80=""),"",G80+H80*100)</f>
      </c>
      <c r="U80" s="50">
        <f>IF(T80="","",IF(T80&lt;=$C$7,"○ 전면적용","× 초과 (5%상한 미적용)"))</f>
      </c>
      <c r="V80" s="50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50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9">
        <f>IF(OR($A80="",O80&lt;&gt;"임대중"),"",IF(H80="",0,H80)+IF(I80="",0,I80))</f>
      </c>
      <c r="Y80" s="49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4"/>
      <c r="AA80" s="51"/>
      <c r="AB80" s="44"/>
      <c r="AC80" s="50">
        <f>IF($A80="","",IF(O80="공실","공실",IF(O80="자가사용","자가사용",IF(L80="","만료일 없음",IF(L80&lt;$C$6,"만료 경과",IF(L80&lt;=EDATE($C$6,12),"12개월 내","12개월 초과"))))))</f>
      </c>
      <c r="AD80" s="50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2">
        <f>IF(OR($A80="",C80=""),"",ROUND(C80*IF($G$9="평",3.305785,1),2))</f>
      </c>
      <c r="AF80" s="52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4"/>
      <c r="G81" s="45"/>
      <c r="H81" s="45"/>
      <c r="I81" s="45"/>
      <c r="J81" s="46"/>
      <c r="K81" s="46"/>
      <c r="L81" s="46"/>
      <c r="M81" s="44"/>
      <c r="N81" s="44"/>
      <c r="O81" s="44"/>
      <c r="P81" s="43"/>
      <c r="Q81" s="47">
        <f>IF(OR($A81="",C81=""),"",AE81/3.305785)</f>
      </c>
      <c r="R81" s="47">
        <f>IF(OR($A81="",D81=""),"",AF81/3.305785)</f>
      </c>
      <c r="S81" s="48">
        <f>IF(OR($A81="",C81="",D81=""),"",IF(C81&gt;0,D81/C81*100,""))</f>
      </c>
      <c r="T81" s="49">
        <f>IF(OR($A81="",O81&lt;&gt;"임대중",F81&lt;&gt;"상가",G81=""),"",G81+H81*100)</f>
      </c>
      <c r="U81" s="50">
        <f>IF(T81="","",IF(T81&lt;=$C$7,"○ 전면적용","× 초과 (5%상한 미적용)"))</f>
      </c>
      <c r="V81" s="50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50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9">
        <f>IF(OR($A81="",O81&lt;&gt;"임대중"),"",IF(H81="",0,H81)+IF(I81="",0,I81))</f>
      </c>
      <c r="Y81" s="49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4"/>
      <c r="AA81" s="51"/>
      <c r="AB81" s="44"/>
      <c r="AC81" s="50">
        <f>IF($A81="","",IF(O81="공실","공실",IF(O81="자가사용","자가사용",IF(L81="","만료일 없음",IF(L81&lt;$C$6,"만료 경과",IF(L81&lt;=EDATE($C$6,12),"12개월 내","12개월 초과"))))))</f>
      </c>
      <c r="AD81" s="50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2">
        <f>IF(OR($A81="",C81=""),"",ROUND(C81*IF($G$9="평",3.305785,1),2))</f>
      </c>
      <c r="AF81" s="52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4"/>
      <c r="G82" s="45"/>
      <c r="H82" s="45"/>
      <c r="I82" s="45"/>
      <c r="J82" s="46"/>
      <c r="K82" s="46"/>
      <c r="L82" s="46"/>
      <c r="M82" s="44"/>
      <c r="N82" s="44"/>
      <c r="O82" s="44"/>
      <c r="P82" s="43"/>
      <c r="Q82" s="47">
        <f>IF(OR($A82="",C82=""),"",AE82/3.305785)</f>
      </c>
      <c r="R82" s="47">
        <f>IF(OR($A82="",D82=""),"",AF82/3.305785)</f>
      </c>
      <c r="S82" s="48">
        <f>IF(OR($A82="",C82="",D82=""),"",IF(C82&gt;0,D82/C82*100,""))</f>
      </c>
      <c r="T82" s="49">
        <f>IF(OR($A82="",O82&lt;&gt;"임대중",F82&lt;&gt;"상가",G82=""),"",G82+H82*100)</f>
      </c>
      <c r="U82" s="50">
        <f>IF(T82="","",IF(T82&lt;=$C$7,"○ 전면적용","× 초과 (5%상한 미적용)"))</f>
      </c>
      <c r="V82" s="50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50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9">
        <f>IF(OR($A82="",O82&lt;&gt;"임대중"),"",IF(H82="",0,H82)+IF(I82="",0,I82))</f>
      </c>
      <c r="Y82" s="49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4"/>
      <c r="AA82" s="51"/>
      <c r="AB82" s="44"/>
      <c r="AC82" s="50">
        <f>IF($A82="","",IF(O82="공실","공실",IF(O82="자가사용","자가사용",IF(L82="","만료일 없음",IF(L82&lt;$C$6,"만료 경과",IF(L82&lt;=EDATE($C$6,12),"12개월 내","12개월 초과"))))))</f>
      </c>
      <c r="AD82" s="50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2">
        <f>IF(OR($A82="",C82=""),"",ROUND(C82*IF($G$9="평",3.305785,1),2))</f>
      </c>
      <c r="AF82" s="52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4"/>
      <c r="G83" s="45"/>
      <c r="H83" s="45"/>
      <c r="I83" s="45"/>
      <c r="J83" s="46"/>
      <c r="K83" s="46"/>
      <c r="L83" s="46"/>
      <c r="M83" s="44"/>
      <c r="N83" s="44"/>
      <c r="O83" s="44"/>
      <c r="P83" s="43"/>
      <c r="Q83" s="47">
        <f>IF(OR($A83="",C83=""),"",AE83/3.305785)</f>
      </c>
      <c r="R83" s="47">
        <f>IF(OR($A83="",D83=""),"",AF83/3.305785)</f>
      </c>
      <c r="S83" s="48">
        <f>IF(OR($A83="",C83="",D83=""),"",IF(C83&gt;0,D83/C83*100,""))</f>
      </c>
      <c r="T83" s="49">
        <f>IF(OR($A83="",O83&lt;&gt;"임대중",F83&lt;&gt;"상가",G83=""),"",G83+H83*100)</f>
      </c>
      <c r="U83" s="50">
        <f>IF(T83="","",IF(T83&lt;=$C$7,"○ 전면적용","× 초과 (5%상한 미적용)"))</f>
      </c>
      <c r="V83" s="50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50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9">
        <f>IF(OR($A83="",O83&lt;&gt;"임대중"),"",IF(H83="",0,H83)+IF(I83="",0,I83))</f>
      </c>
      <c r="Y83" s="49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4"/>
      <c r="AA83" s="51"/>
      <c r="AB83" s="44"/>
      <c r="AC83" s="50">
        <f>IF($A83="","",IF(O83="공실","공실",IF(O83="자가사용","자가사용",IF(L83="","만료일 없음",IF(L83&lt;$C$6,"만료 경과",IF(L83&lt;=EDATE($C$6,12),"12개월 내","12개월 초과"))))))</f>
      </c>
      <c r="AD83" s="50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2">
        <f>IF(OR($A83="",C83=""),"",ROUND(C83*IF($G$9="평",3.305785,1),2))</f>
      </c>
      <c r="AF83" s="52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4"/>
      <c r="G84" s="45"/>
      <c r="H84" s="45"/>
      <c r="I84" s="45"/>
      <c r="J84" s="46"/>
      <c r="K84" s="46"/>
      <c r="L84" s="46"/>
      <c r="M84" s="44"/>
      <c r="N84" s="44"/>
      <c r="O84" s="44"/>
      <c r="P84" s="43"/>
      <c r="Q84" s="47">
        <f>IF(OR($A84="",C84=""),"",AE84/3.305785)</f>
      </c>
      <c r="R84" s="47">
        <f>IF(OR($A84="",D84=""),"",AF84/3.305785)</f>
      </c>
      <c r="S84" s="48">
        <f>IF(OR($A84="",C84="",D84=""),"",IF(C84&gt;0,D84/C84*100,""))</f>
      </c>
      <c r="T84" s="49">
        <f>IF(OR($A84="",O84&lt;&gt;"임대중",F84&lt;&gt;"상가",G84=""),"",G84+H84*100)</f>
      </c>
      <c r="U84" s="50">
        <f>IF(T84="","",IF(T84&lt;=$C$7,"○ 전면적용","× 초과 (5%상한 미적용)"))</f>
      </c>
      <c r="V84" s="50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50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9">
        <f>IF(OR($A84="",O84&lt;&gt;"임대중"),"",IF(H84="",0,H84)+IF(I84="",0,I84))</f>
      </c>
      <c r="Y84" s="49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4"/>
      <c r="AA84" s="51"/>
      <c r="AB84" s="44"/>
      <c r="AC84" s="50">
        <f>IF($A84="","",IF(O84="공실","공실",IF(O84="자가사용","자가사용",IF(L84="","만료일 없음",IF(L84&lt;$C$6,"만료 경과",IF(L84&lt;=EDATE($C$6,12),"12개월 내","12개월 초과"))))))</f>
      </c>
      <c r="AD84" s="50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2">
        <f>IF(OR($A84="",C84=""),"",ROUND(C84*IF($G$9="평",3.305785,1),2))</f>
      </c>
      <c r="AF84" s="52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4"/>
      <c r="G85" s="45"/>
      <c r="H85" s="45"/>
      <c r="I85" s="45"/>
      <c r="J85" s="46"/>
      <c r="K85" s="46"/>
      <c r="L85" s="46"/>
      <c r="M85" s="44"/>
      <c r="N85" s="44"/>
      <c r="O85" s="44"/>
      <c r="P85" s="43"/>
      <c r="Q85" s="47">
        <f>IF(OR($A85="",C85=""),"",AE85/3.305785)</f>
      </c>
      <c r="R85" s="47">
        <f>IF(OR($A85="",D85=""),"",AF85/3.305785)</f>
      </c>
      <c r="S85" s="48">
        <f>IF(OR($A85="",C85="",D85=""),"",IF(C85&gt;0,D85/C85*100,""))</f>
      </c>
      <c r="T85" s="49">
        <f>IF(OR($A85="",O85&lt;&gt;"임대중",F85&lt;&gt;"상가",G85=""),"",G85+H85*100)</f>
      </c>
      <c r="U85" s="50">
        <f>IF(T85="","",IF(T85&lt;=$C$7,"○ 전면적용","× 초과 (5%상한 미적용)"))</f>
      </c>
      <c r="V85" s="50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50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9">
        <f>IF(OR($A85="",O85&lt;&gt;"임대중"),"",IF(H85="",0,H85)+IF(I85="",0,I85))</f>
      </c>
      <c r="Y85" s="49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4"/>
      <c r="AA85" s="51"/>
      <c r="AB85" s="44"/>
      <c r="AC85" s="50">
        <f>IF($A85="","",IF(O85="공실","공실",IF(O85="자가사용","자가사용",IF(L85="","만료일 없음",IF(L85&lt;$C$6,"만료 경과",IF(L85&lt;=EDATE($C$6,12),"12개월 내","12개월 초과"))))))</f>
      </c>
      <c r="AD85" s="50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2">
        <f>IF(OR($A85="",C85=""),"",ROUND(C85*IF($G$9="평",3.305785,1),2))</f>
      </c>
      <c r="AF85" s="52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4"/>
      <c r="G86" s="45"/>
      <c r="H86" s="45"/>
      <c r="I86" s="45"/>
      <c r="J86" s="46"/>
      <c r="K86" s="46"/>
      <c r="L86" s="46"/>
      <c r="M86" s="44"/>
      <c r="N86" s="44"/>
      <c r="O86" s="44"/>
      <c r="P86" s="43"/>
      <c r="Q86" s="47">
        <f>IF(OR($A86="",C86=""),"",AE86/3.305785)</f>
      </c>
      <c r="R86" s="47">
        <f>IF(OR($A86="",D86=""),"",AF86/3.305785)</f>
      </c>
      <c r="S86" s="48">
        <f>IF(OR($A86="",C86="",D86=""),"",IF(C86&gt;0,D86/C86*100,""))</f>
      </c>
      <c r="T86" s="49">
        <f>IF(OR($A86="",O86&lt;&gt;"임대중",F86&lt;&gt;"상가",G86=""),"",G86+H86*100)</f>
      </c>
      <c r="U86" s="50">
        <f>IF(T86="","",IF(T86&lt;=$C$7,"○ 전면적용","× 초과 (5%상한 미적용)"))</f>
      </c>
      <c r="V86" s="50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50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9">
        <f>IF(OR($A86="",O86&lt;&gt;"임대중"),"",IF(H86="",0,H86)+IF(I86="",0,I86))</f>
      </c>
      <c r="Y86" s="49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4"/>
      <c r="AA86" s="51"/>
      <c r="AB86" s="44"/>
      <c r="AC86" s="50">
        <f>IF($A86="","",IF(O86="공실","공실",IF(O86="자가사용","자가사용",IF(L86="","만료일 없음",IF(L86&lt;$C$6,"만료 경과",IF(L86&lt;=EDATE($C$6,12),"12개월 내","12개월 초과"))))))</f>
      </c>
      <c r="AD86" s="50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2">
        <f>IF(OR($A86="",C86=""),"",ROUND(C86*IF($G$9="평",3.305785,1),2))</f>
      </c>
      <c r="AF86" s="52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4"/>
      <c r="G87" s="45"/>
      <c r="H87" s="45"/>
      <c r="I87" s="45"/>
      <c r="J87" s="46"/>
      <c r="K87" s="46"/>
      <c r="L87" s="46"/>
      <c r="M87" s="44"/>
      <c r="N87" s="44"/>
      <c r="O87" s="44"/>
      <c r="P87" s="43"/>
      <c r="Q87" s="47">
        <f>IF(OR($A87="",C87=""),"",AE87/3.305785)</f>
      </c>
      <c r="R87" s="47">
        <f>IF(OR($A87="",D87=""),"",AF87/3.305785)</f>
      </c>
      <c r="S87" s="48">
        <f>IF(OR($A87="",C87="",D87=""),"",IF(C87&gt;0,D87/C87*100,""))</f>
      </c>
      <c r="T87" s="49">
        <f>IF(OR($A87="",O87&lt;&gt;"임대중",F87&lt;&gt;"상가",G87=""),"",G87+H87*100)</f>
      </c>
      <c r="U87" s="50">
        <f>IF(T87="","",IF(T87&lt;=$C$7,"○ 전면적용","× 초과 (5%상한 미적용)"))</f>
      </c>
      <c r="V87" s="50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50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9">
        <f>IF(OR($A87="",O87&lt;&gt;"임대중"),"",IF(H87="",0,H87)+IF(I87="",0,I87))</f>
      </c>
      <c r="Y87" s="49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4"/>
      <c r="AA87" s="51"/>
      <c r="AB87" s="44"/>
      <c r="AC87" s="50">
        <f>IF($A87="","",IF(O87="공실","공실",IF(O87="자가사용","자가사용",IF(L87="","만료일 없음",IF(L87&lt;$C$6,"만료 경과",IF(L87&lt;=EDATE($C$6,12),"12개월 내","12개월 초과"))))))</f>
      </c>
      <c r="AD87" s="50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2">
        <f>IF(OR($A87="",C87=""),"",ROUND(C87*IF($G$9="평",3.305785,1),2))</f>
      </c>
      <c r="AF87" s="52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4"/>
      <c r="G88" s="45"/>
      <c r="H88" s="45"/>
      <c r="I88" s="45"/>
      <c r="J88" s="46"/>
      <c r="K88" s="46"/>
      <c r="L88" s="46"/>
      <c r="M88" s="44"/>
      <c r="N88" s="44"/>
      <c r="O88" s="44"/>
      <c r="P88" s="43"/>
      <c r="Q88" s="47">
        <f>IF(OR($A88="",C88=""),"",AE88/3.305785)</f>
      </c>
      <c r="R88" s="47">
        <f>IF(OR($A88="",D88=""),"",AF88/3.305785)</f>
      </c>
      <c r="S88" s="48">
        <f>IF(OR($A88="",C88="",D88=""),"",IF(C88&gt;0,D88/C88*100,""))</f>
      </c>
      <c r="T88" s="49">
        <f>IF(OR($A88="",O88&lt;&gt;"임대중",F88&lt;&gt;"상가",G88=""),"",G88+H88*100)</f>
      </c>
      <c r="U88" s="50">
        <f>IF(T88="","",IF(T88&lt;=$C$7,"○ 전면적용","× 초과 (5%상한 미적용)"))</f>
      </c>
      <c r="V88" s="50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50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9">
        <f>IF(OR($A88="",O88&lt;&gt;"임대중"),"",IF(H88="",0,H88)+IF(I88="",0,I88))</f>
      </c>
      <c r="Y88" s="49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4"/>
      <c r="AA88" s="51"/>
      <c r="AB88" s="44"/>
      <c r="AC88" s="50">
        <f>IF($A88="","",IF(O88="공실","공실",IF(O88="자가사용","자가사용",IF(L88="","만료일 없음",IF(L88&lt;$C$6,"만료 경과",IF(L88&lt;=EDATE($C$6,12),"12개월 내","12개월 초과"))))))</f>
      </c>
      <c r="AD88" s="50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2">
        <f>IF(OR($A88="",C88=""),"",ROUND(C88*IF($G$9="평",3.305785,1),2))</f>
      </c>
      <c r="AF88" s="52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4"/>
      <c r="G89" s="45"/>
      <c r="H89" s="45"/>
      <c r="I89" s="45"/>
      <c r="J89" s="46"/>
      <c r="K89" s="46"/>
      <c r="L89" s="46"/>
      <c r="M89" s="44"/>
      <c r="N89" s="44"/>
      <c r="O89" s="44"/>
      <c r="P89" s="43"/>
      <c r="Q89" s="47">
        <f>IF(OR($A89="",C89=""),"",AE89/3.305785)</f>
      </c>
      <c r="R89" s="47">
        <f>IF(OR($A89="",D89=""),"",AF89/3.305785)</f>
      </c>
      <c r="S89" s="48">
        <f>IF(OR($A89="",C89="",D89=""),"",IF(C89&gt;0,D89/C89*100,""))</f>
      </c>
      <c r="T89" s="49">
        <f>IF(OR($A89="",O89&lt;&gt;"임대중",F89&lt;&gt;"상가",G89=""),"",G89+H89*100)</f>
      </c>
      <c r="U89" s="50">
        <f>IF(T89="","",IF(T89&lt;=$C$7,"○ 전면적용","× 초과 (5%상한 미적용)"))</f>
      </c>
      <c r="V89" s="50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50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9">
        <f>IF(OR($A89="",O89&lt;&gt;"임대중"),"",IF(H89="",0,H89)+IF(I89="",0,I89))</f>
      </c>
      <c r="Y89" s="49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4"/>
      <c r="AA89" s="51"/>
      <c r="AB89" s="44"/>
      <c r="AC89" s="50">
        <f>IF($A89="","",IF(O89="공실","공실",IF(O89="자가사용","자가사용",IF(L89="","만료일 없음",IF(L89&lt;$C$6,"만료 경과",IF(L89&lt;=EDATE($C$6,12),"12개월 내","12개월 초과"))))))</f>
      </c>
      <c r="AD89" s="50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2">
        <f>IF(OR($A89="",C89=""),"",ROUND(C89*IF($G$9="평",3.305785,1),2))</f>
      </c>
      <c r="AF89" s="52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4"/>
      <c r="G90" s="45"/>
      <c r="H90" s="45"/>
      <c r="I90" s="45"/>
      <c r="J90" s="46"/>
      <c r="K90" s="46"/>
      <c r="L90" s="46"/>
      <c r="M90" s="44"/>
      <c r="N90" s="44"/>
      <c r="O90" s="44"/>
      <c r="P90" s="43"/>
      <c r="Q90" s="47">
        <f>IF(OR($A90="",C90=""),"",AE90/3.305785)</f>
      </c>
      <c r="R90" s="47">
        <f>IF(OR($A90="",D90=""),"",AF90/3.305785)</f>
      </c>
      <c r="S90" s="48">
        <f>IF(OR($A90="",C90="",D90=""),"",IF(C90&gt;0,D90/C90*100,""))</f>
      </c>
      <c r="T90" s="49">
        <f>IF(OR($A90="",O90&lt;&gt;"임대중",F90&lt;&gt;"상가",G90=""),"",G90+H90*100)</f>
      </c>
      <c r="U90" s="50">
        <f>IF(T90="","",IF(T90&lt;=$C$7,"○ 전면적용","× 초과 (5%상한 미적용)"))</f>
      </c>
      <c r="V90" s="50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50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9">
        <f>IF(OR($A90="",O90&lt;&gt;"임대중"),"",IF(H90="",0,H90)+IF(I90="",0,I90))</f>
      </c>
      <c r="Y90" s="49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4"/>
      <c r="AA90" s="51"/>
      <c r="AB90" s="44"/>
      <c r="AC90" s="50">
        <f>IF($A90="","",IF(O90="공실","공실",IF(O90="자가사용","자가사용",IF(L90="","만료일 없음",IF(L90&lt;$C$6,"만료 경과",IF(L90&lt;=EDATE($C$6,12),"12개월 내","12개월 초과"))))))</f>
      </c>
      <c r="AD90" s="50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2">
        <f>IF(OR($A90="",C90=""),"",ROUND(C90*IF($G$9="평",3.305785,1),2))</f>
      </c>
      <c r="AF90" s="52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4"/>
      <c r="G91" s="45"/>
      <c r="H91" s="45"/>
      <c r="I91" s="45"/>
      <c r="J91" s="46"/>
      <c r="K91" s="46"/>
      <c r="L91" s="46"/>
      <c r="M91" s="44"/>
      <c r="N91" s="44"/>
      <c r="O91" s="44"/>
      <c r="P91" s="43"/>
      <c r="Q91" s="47">
        <f>IF(OR($A91="",C91=""),"",AE91/3.305785)</f>
      </c>
      <c r="R91" s="47">
        <f>IF(OR($A91="",D91=""),"",AF91/3.305785)</f>
      </c>
      <c r="S91" s="48">
        <f>IF(OR($A91="",C91="",D91=""),"",IF(C91&gt;0,D91/C91*100,""))</f>
      </c>
      <c r="T91" s="49">
        <f>IF(OR($A91="",O91&lt;&gt;"임대중",F91&lt;&gt;"상가",G91=""),"",G91+H91*100)</f>
      </c>
      <c r="U91" s="50">
        <f>IF(T91="","",IF(T91&lt;=$C$7,"○ 전면적용","× 초과 (5%상한 미적용)"))</f>
      </c>
      <c r="V91" s="50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50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9">
        <f>IF(OR($A91="",O91&lt;&gt;"임대중"),"",IF(H91="",0,H91)+IF(I91="",0,I91))</f>
      </c>
      <c r="Y91" s="49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4"/>
      <c r="AA91" s="51"/>
      <c r="AB91" s="44"/>
      <c r="AC91" s="50">
        <f>IF($A91="","",IF(O91="공실","공실",IF(O91="자가사용","자가사용",IF(L91="","만료일 없음",IF(L91&lt;$C$6,"만료 경과",IF(L91&lt;=EDATE($C$6,12),"12개월 내","12개월 초과"))))))</f>
      </c>
      <c r="AD91" s="50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2">
        <f>IF(OR($A91="",C91=""),"",ROUND(C91*IF($G$9="평",3.305785,1),2))</f>
      </c>
      <c r="AF91" s="52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4"/>
      <c r="G92" s="45"/>
      <c r="H92" s="45"/>
      <c r="I92" s="45"/>
      <c r="J92" s="46"/>
      <c r="K92" s="46"/>
      <c r="L92" s="46"/>
      <c r="M92" s="44"/>
      <c r="N92" s="44"/>
      <c r="O92" s="44"/>
      <c r="P92" s="43"/>
      <c r="Q92" s="47">
        <f>IF(OR($A92="",C92=""),"",AE92/3.305785)</f>
      </c>
      <c r="R92" s="47">
        <f>IF(OR($A92="",D92=""),"",AF92/3.305785)</f>
      </c>
      <c r="S92" s="48">
        <f>IF(OR($A92="",C92="",D92=""),"",IF(C92&gt;0,D92/C92*100,""))</f>
      </c>
      <c r="T92" s="49">
        <f>IF(OR($A92="",O92&lt;&gt;"임대중",F92&lt;&gt;"상가",G92=""),"",G92+H92*100)</f>
      </c>
      <c r="U92" s="50">
        <f>IF(T92="","",IF(T92&lt;=$C$7,"○ 전면적용","× 초과 (5%상한 미적용)"))</f>
      </c>
      <c r="V92" s="50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50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9">
        <f>IF(OR($A92="",O92&lt;&gt;"임대중"),"",IF(H92="",0,H92)+IF(I92="",0,I92))</f>
      </c>
      <c r="Y92" s="49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4"/>
      <c r="AA92" s="51"/>
      <c r="AB92" s="44"/>
      <c r="AC92" s="50">
        <f>IF($A92="","",IF(O92="공실","공실",IF(O92="자가사용","자가사용",IF(L92="","만료일 없음",IF(L92&lt;$C$6,"만료 경과",IF(L92&lt;=EDATE($C$6,12),"12개월 내","12개월 초과"))))))</f>
      </c>
      <c r="AD92" s="50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2">
        <f>IF(OR($A92="",C92=""),"",ROUND(C92*IF($G$9="평",3.305785,1),2))</f>
      </c>
      <c r="AF92" s="52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4"/>
      <c r="G93" s="45"/>
      <c r="H93" s="45"/>
      <c r="I93" s="45"/>
      <c r="J93" s="46"/>
      <c r="K93" s="46"/>
      <c r="L93" s="46"/>
      <c r="M93" s="44"/>
      <c r="N93" s="44"/>
      <c r="O93" s="44"/>
      <c r="P93" s="43"/>
      <c r="Q93" s="47">
        <f>IF(OR($A93="",C93=""),"",AE93/3.305785)</f>
      </c>
      <c r="R93" s="47">
        <f>IF(OR($A93="",D93=""),"",AF93/3.305785)</f>
      </c>
      <c r="S93" s="48">
        <f>IF(OR($A93="",C93="",D93=""),"",IF(C93&gt;0,D93/C93*100,""))</f>
      </c>
      <c r="T93" s="49">
        <f>IF(OR($A93="",O93&lt;&gt;"임대중",F93&lt;&gt;"상가",G93=""),"",G93+H93*100)</f>
      </c>
      <c r="U93" s="50">
        <f>IF(T93="","",IF(T93&lt;=$C$7,"○ 전면적용","× 초과 (5%상한 미적용)"))</f>
      </c>
      <c r="V93" s="50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50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9">
        <f>IF(OR($A93="",O93&lt;&gt;"임대중"),"",IF(H93="",0,H93)+IF(I93="",0,I93))</f>
      </c>
      <c r="Y93" s="49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4"/>
      <c r="AA93" s="51"/>
      <c r="AB93" s="44"/>
      <c r="AC93" s="50">
        <f>IF($A93="","",IF(O93="공실","공실",IF(O93="자가사용","자가사용",IF(L93="","만료일 없음",IF(L93&lt;$C$6,"만료 경과",IF(L93&lt;=EDATE($C$6,12),"12개월 내","12개월 초과"))))))</f>
      </c>
      <c r="AD93" s="50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2">
        <f>IF(OR($A93="",C93=""),"",ROUND(C93*IF($G$9="평",3.305785,1),2))</f>
      </c>
      <c r="AF93" s="52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4"/>
      <c r="G94" s="45"/>
      <c r="H94" s="45"/>
      <c r="I94" s="45"/>
      <c r="J94" s="46"/>
      <c r="K94" s="46"/>
      <c r="L94" s="46"/>
      <c r="M94" s="44"/>
      <c r="N94" s="44"/>
      <c r="O94" s="44"/>
      <c r="P94" s="43"/>
      <c r="Q94" s="47">
        <f>IF(OR($A94="",C94=""),"",AE94/3.305785)</f>
      </c>
      <c r="R94" s="47">
        <f>IF(OR($A94="",D94=""),"",AF94/3.305785)</f>
      </c>
      <c r="S94" s="48">
        <f>IF(OR($A94="",C94="",D94=""),"",IF(C94&gt;0,D94/C94*100,""))</f>
      </c>
      <c r="T94" s="49">
        <f>IF(OR($A94="",O94&lt;&gt;"임대중",F94&lt;&gt;"상가",G94=""),"",G94+H94*100)</f>
      </c>
      <c r="U94" s="50">
        <f>IF(T94="","",IF(T94&lt;=$C$7,"○ 전면적용","× 초과 (5%상한 미적용)"))</f>
      </c>
      <c r="V94" s="50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50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9">
        <f>IF(OR($A94="",O94&lt;&gt;"임대중"),"",IF(H94="",0,H94)+IF(I94="",0,I94))</f>
      </c>
      <c r="Y94" s="49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4"/>
      <c r="AA94" s="51"/>
      <c r="AB94" s="44"/>
      <c r="AC94" s="50">
        <f>IF($A94="","",IF(O94="공실","공실",IF(O94="자가사용","자가사용",IF(L94="","만료일 없음",IF(L94&lt;$C$6,"만료 경과",IF(L94&lt;=EDATE($C$6,12),"12개월 내","12개월 초과"))))))</f>
      </c>
      <c r="AD94" s="50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2">
        <f>IF(OR($A94="",C94=""),"",ROUND(C94*IF($G$9="평",3.305785,1),2))</f>
      </c>
      <c r="AF94" s="52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4"/>
      <c r="G95" s="45"/>
      <c r="H95" s="45"/>
      <c r="I95" s="45"/>
      <c r="J95" s="46"/>
      <c r="K95" s="46"/>
      <c r="L95" s="46"/>
      <c r="M95" s="44"/>
      <c r="N95" s="44"/>
      <c r="O95" s="44"/>
      <c r="P95" s="43"/>
      <c r="Q95" s="47">
        <f>IF(OR($A95="",C95=""),"",AE95/3.305785)</f>
      </c>
      <c r="R95" s="47">
        <f>IF(OR($A95="",D95=""),"",AF95/3.305785)</f>
      </c>
      <c r="S95" s="48">
        <f>IF(OR($A95="",C95="",D95=""),"",IF(C95&gt;0,D95/C95*100,""))</f>
      </c>
      <c r="T95" s="49">
        <f>IF(OR($A95="",O95&lt;&gt;"임대중",F95&lt;&gt;"상가",G95=""),"",G95+H95*100)</f>
      </c>
      <c r="U95" s="50">
        <f>IF(T95="","",IF(T95&lt;=$C$7,"○ 전면적용","× 초과 (5%상한 미적용)"))</f>
      </c>
      <c r="V95" s="50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50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9">
        <f>IF(OR($A95="",O95&lt;&gt;"임대중"),"",IF(H95="",0,H95)+IF(I95="",0,I95))</f>
      </c>
      <c r="Y95" s="49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4"/>
      <c r="AA95" s="51"/>
      <c r="AB95" s="44"/>
      <c r="AC95" s="50">
        <f>IF($A95="","",IF(O95="공실","공실",IF(O95="자가사용","자가사용",IF(L95="","만료일 없음",IF(L95&lt;$C$6,"만료 경과",IF(L95&lt;=EDATE($C$6,12),"12개월 내","12개월 초과"))))))</f>
      </c>
      <c r="AD95" s="50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2">
        <f>IF(OR($A95="",C95=""),"",ROUND(C95*IF($G$9="평",3.305785,1),2))</f>
      </c>
      <c r="AF95" s="52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4"/>
      <c r="G96" s="45"/>
      <c r="H96" s="45"/>
      <c r="I96" s="45"/>
      <c r="J96" s="46"/>
      <c r="K96" s="46"/>
      <c r="L96" s="46"/>
      <c r="M96" s="44"/>
      <c r="N96" s="44"/>
      <c r="O96" s="44"/>
      <c r="P96" s="43"/>
      <c r="Q96" s="47">
        <f>IF(OR($A96="",C96=""),"",AE96/3.305785)</f>
      </c>
      <c r="R96" s="47">
        <f>IF(OR($A96="",D96=""),"",AF96/3.305785)</f>
      </c>
      <c r="S96" s="48">
        <f>IF(OR($A96="",C96="",D96=""),"",IF(C96&gt;0,D96/C96*100,""))</f>
      </c>
      <c r="T96" s="49">
        <f>IF(OR($A96="",O96&lt;&gt;"임대중",F96&lt;&gt;"상가",G96=""),"",G96+H96*100)</f>
      </c>
      <c r="U96" s="50">
        <f>IF(T96="","",IF(T96&lt;=$C$7,"○ 전면적용","× 초과 (5%상한 미적용)"))</f>
      </c>
      <c r="V96" s="50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50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9">
        <f>IF(OR($A96="",O96&lt;&gt;"임대중"),"",IF(H96="",0,H96)+IF(I96="",0,I96))</f>
      </c>
      <c r="Y96" s="49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4"/>
      <c r="AA96" s="51"/>
      <c r="AB96" s="44"/>
      <c r="AC96" s="50">
        <f>IF($A96="","",IF(O96="공실","공실",IF(O96="자가사용","자가사용",IF(L96="","만료일 없음",IF(L96&lt;$C$6,"만료 경과",IF(L96&lt;=EDATE($C$6,12),"12개월 내","12개월 초과"))))))</f>
      </c>
      <c r="AD96" s="50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2">
        <f>IF(OR($A96="",C96=""),"",ROUND(C96*IF($G$9="평",3.305785,1),2))</f>
      </c>
      <c r="AF96" s="52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4"/>
      <c r="G97" s="45"/>
      <c r="H97" s="45"/>
      <c r="I97" s="45"/>
      <c r="J97" s="46"/>
      <c r="K97" s="46"/>
      <c r="L97" s="46"/>
      <c r="M97" s="44"/>
      <c r="N97" s="44"/>
      <c r="O97" s="44"/>
      <c r="P97" s="43"/>
      <c r="Q97" s="47">
        <f>IF(OR($A97="",C97=""),"",AE97/3.305785)</f>
      </c>
      <c r="R97" s="47">
        <f>IF(OR($A97="",D97=""),"",AF97/3.305785)</f>
      </c>
      <c r="S97" s="48">
        <f>IF(OR($A97="",C97="",D97=""),"",IF(C97&gt;0,D97/C97*100,""))</f>
      </c>
      <c r="T97" s="49">
        <f>IF(OR($A97="",O97&lt;&gt;"임대중",F97&lt;&gt;"상가",G97=""),"",G97+H97*100)</f>
      </c>
      <c r="U97" s="50">
        <f>IF(T97="","",IF(T97&lt;=$C$7,"○ 전면적용","× 초과 (5%상한 미적용)"))</f>
      </c>
      <c r="V97" s="50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50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9">
        <f>IF(OR($A97="",O97&lt;&gt;"임대중"),"",IF(H97="",0,H97)+IF(I97="",0,I97))</f>
      </c>
      <c r="Y97" s="49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4"/>
      <c r="AA97" s="51"/>
      <c r="AB97" s="44"/>
      <c r="AC97" s="50">
        <f>IF($A97="","",IF(O97="공실","공실",IF(O97="자가사용","자가사용",IF(L97="","만료일 없음",IF(L97&lt;$C$6,"만료 경과",IF(L97&lt;=EDATE($C$6,12),"12개월 내","12개월 초과"))))))</f>
      </c>
      <c r="AD97" s="50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2">
        <f>IF(OR($A97="",C97=""),"",ROUND(C97*IF($G$9="평",3.305785,1),2))</f>
      </c>
      <c r="AF97" s="52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4"/>
      <c r="G98" s="45"/>
      <c r="H98" s="45"/>
      <c r="I98" s="45"/>
      <c r="J98" s="46"/>
      <c r="K98" s="46"/>
      <c r="L98" s="46"/>
      <c r="M98" s="44"/>
      <c r="N98" s="44"/>
      <c r="O98" s="44"/>
      <c r="P98" s="43"/>
      <c r="Q98" s="47">
        <f>IF(OR($A98="",C98=""),"",AE98/3.305785)</f>
      </c>
      <c r="R98" s="47">
        <f>IF(OR($A98="",D98=""),"",AF98/3.305785)</f>
      </c>
      <c r="S98" s="48">
        <f>IF(OR($A98="",C98="",D98=""),"",IF(C98&gt;0,D98/C98*100,""))</f>
      </c>
      <c r="T98" s="49">
        <f>IF(OR($A98="",O98&lt;&gt;"임대중",F98&lt;&gt;"상가",G98=""),"",G98+H98*100)</f>
      </c>
      <c r="U98" s="50">
        <f>IF(T98="","",IF(T98&lt;=$C$7,"○ 전면적용","× 초과 (5%상한 미적용)"))</f>
      </c>
      <c r="V98" s="50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50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9">
        <f>IF(OR($A98="",O98&lt;&gt;"임대중"),"",IF(H98="",0,H98)+IF(I98="",0,I98))</f>
      </c>
      <c r="Y98" s="49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4"/>
      <c r="AA98" s="51"/>
      <c r="AB98" s="44"/>
      <c r="AC98" s="50">
        <f>IF($A98="","",IF(O98="공실","공실",IF(O98="자가사용","자가사용",IF(L98="","만료일 없음",IF(L98&lt;$C$6,"만료 경과",IF(L98&lt;=EDATE($C$6,12),"12개월 내","12개월 초과"))))))</f>
      </c>
      <c r="AD98" s="50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2">
        <f>IF(OR($A98="",C98=""),"",ROUND(C98*IF($G$9="평",3.305785,1),2))</f>
      </c>
      <c r="AF98" s="52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4"/>
      <c r="G99" s="45"/>
      <c r="H99" s="45"/>
      <c r="I99" s="45"/>
      <c r="J99" s="46"/>
      <c r="K99" s="46"/>
      <c r="L99" s="46"/>
      <c r="M99" s="44"/>
      <c r="N99" s="44"/>
      <c r="O99" s="44"/>
      <c r="P99" s="43"/>
      <c r="Q99" s="47">
        <f>IF(OR($A99="",C99=""),"",AE99/3.305785)</f>
      </c>
      <c r="R99" s="47">
        <f>IF(OR($A99="",D99=""),"",AF99/3.305785)</f>
      </c>
      <c r="S99" s="48">
        <f>IF(OR($A99="",C99="",D99=""),"",IF(C99&gt;0,D99/C99*100,""))</f>
      </c>
      <c r="T99" s="49">
        <f>IF(OR($A99="",O99&lt;&gt;"임대중",F99&lt;&gt;"상가",G99=""),"",G99+H99*100)</f>
      </c>
      <c r="U99" s="50">
        <f>IF(T99="","",IF(T99&lt;=$C$7,"○ 전면적용","× 초과 (5%상한 미적용)"))</f>
      </c>
      <c r="V99" s="50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50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9">
        <f>IF(OR($A99="",O99&lt;&gt;"임대중"),"",IF(H99="",0,H99)+IF(I99="",0,I99))</f>
      </c>
      <c r="Y99" s="49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4"/>
      <c r="AA99" s="51"/>
      <c r="AB99" s="44"/>
      <c r="AC99" s="50">
        <f>IF($A99="","",IF(O99="공실","공실",IF(O99="자가사용","자가사용",IF(L99="","만료일 없음",IF(L99&lt;$C$6,"만료 경과",IF(L99&lt;=EDATE($C$6,12),"12개월 내","12개월 초과"))))))</f>
      </c>
      <c r="AD99" s="50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2">
        <f>IF(OR($A99="",C99=""),"",ROUND(C99*IF($G$9="평",3.305785,1),2))</f>
      </c>
      <c r="AF99" s="52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4"/>
      <c r="G100" s="45"/>
      <c r="H100" s="45"/>
      <c r="I100" s="45"/>
      <c r="J100" s="46"/>
      <c r="K100" s="46"/>
      <c r="L100" s="46"/>
      <c r="M100" s="44"/>
      <c r="N100" s="44"/>
      <c r="O100" s="44"/>
      <c r="P100" s="43"/>
      <c r="Q100" s="47">
        <f>IF(OR($A100="",C100=""),"",AE100/3.305785)</f>
      </c>
      <c r="R100" s="47">
        <f>IF(OR($A100="",D100=""),"",AF100/3.305785)</f>
      </c>
      <c r="S100" s="48">
        <f>IF(OR($A100="",C100="",D100=""),"",IF(C100&gt;0,D100/C100*100,""))</f>
      </c>
      <c r="T100" s="49">
        <f>IF(OR($A100="",O100&lt;&gt;"임대중",F100&lt;&gt;"상가",G100=""),"",G100+H100*100)</f>
      </c>
      <c r="U100" s="50">
        <f>IF(T100="","",IF(T100&lt;=$C$7,"○ 전면적용","× 초과 (5%상한 미적용)"))</f>
      </c>
      <c r="V100" s="50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50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9">
        <f>IF(OR($A100="",O100&lt;&gt;"임대중"),"",IF(H100="",0,H100)+IF(I100="",0,I100))</f>
      </c>
      <c r="Y100" s="49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4"/>
      <c r="AA100" s="51"/>
      <c r="AB100" s="44"/>
      <c r="AC100" s="50">
        <f>IF($A100="","",IF(O100="공실","공실",IF(O100="자가사용","자가사용",IF(L100="","만료일 없음",IF(L100&lt;$C$6,"만료 경과",IF(L100&lt;=EDATE($C$6,12),"12개월 내","12개월 초과"))))))</f>
      </c>
      <c r="AD100" s="50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2">
        <f>IF(OR($A100="",C100=""),"",ROUND(C100*IF($G$9="평",3.305785,1),2))</f>
      </c>
      <c r="AF100" s="52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4"/>
      <c r="G101" s="45"/>
      <c r="H101" s="45"/>
      <c r="I101" s="45"/>
      <c r="J101" s="46"/>
      <c r="K101" s="46"/>
      <c r="L101" s="46"/>
      <c r="M101" s="44"/>
      <c r="N101" s="44"/>
      <c r="O101" s="44"/>
      <c r="P101" s="43"/>
      <c r="Q101" s="47">
        <f>IF(OR($A101="",C101=""),"",AE101/3.305785)</f>
      </c>
      <c r="R101" s="47">
        <f>IF(OR($A101="",D101=""),"",AF101/3.305785)</f>
      </c>
      <c r="S101" s="48">
        <f>IF(OR($A101="",C101="",D101=""),"",IF(C101&gt;0,D101/C101*100,""))</f>
      </c>
      <c r="T101" s="49">
        <f>IF(OR($A101="",O101&lt;&gt;"임대중",F101&lt;&gt;"상가",G101=""),"",G101+H101*100)</f>
      </c>
      <c r="U101" s="50">
        <f>IF(T101="","",IF(T101&lt;=$C$7,"○ 전면적용","× 초과 (5%상한 미적용)"))</f>
      </c>
      <c r="V101" s="50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50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9">
        <f>IF(OR($A101="",O101&lt;&gt;"임대중"),"",IF(H101="",0,H101)+IF(I101="",0,I101))</f>
      </c>
      <c r="Y101" s="49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4"/>
      <c r="AA101" s="51"/>
      <c r="AB101" s="44"/>
      <c r="AC101" s="50">
        <f>IF($A101="","",IF(O101="공실","공실",IF(O101="자가사용","자가사용",IF(L101="","만료일 없음",IF(L101&lt;$C$6,"만료 경과",IF(L101&lt;=EDATE($C$6,12),"12개월 내","12개월 초과"))))))</f>
      </c>
      <c r="AD101" s="50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2">
        <f>IF(OR($A101="",C101=""),"",ROUND(C101*IF($G$9="평",3.305785,1),2))</f>
      </c>
      <c r="AF101" s="52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4"/>
      <c r="G102" s="45"/>
      <c r="H102" s="45"/>
      <c r="I102" s="45"/>
      <c r="J102" s="46"/>
      <c r="K102" s="46"/>
      <c r="L102" s="46"/>
      <c r="M102" s="44"/>
      <c r="N102" s="44"/>
      <c r="O102" s="44"/>
      <c r="P102" s="43"/>
      <c r="Q102" s="47">
        <f>IF(OR($A102="",C102=""),"",AE102/3.305785)</f>
      </c>
      <c r="R102" s="47">
        <f>IF(OR($A102="",D102=""),"",AF102/3.305785)</f>
      </c>
      <c r="S102" s="48">
        <f>IF(OR($A102="",C102="",D102=""),"",IF(C102&gt;0,D102/C102*100,""))</f>
      </c>
      <c r="T102" s="49">
        <f>IF(OR($A102="",O102&lt;&gt;"임대중",F102&lt;&gt;"상가",G102=""),"",G102+H102*100)</f>
      </c>
      <c r="U102" s="50">
        <f>IF(T102="","",IF(T102&lt;=$C$7,"○ 전면적용","× 초과 (5%상한 미적용)"))</f>
      </c>
      <c r="V102" s="50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50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9">
        <f>IF(OR($A102="",O102&lt;&gt;"임대중"),"",IF(H102="",0,H102)+IF(I102="",0,I102))</f>
      </c>
      <c r="Y102" s="49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4"/>
      <c r="AA102" s="51"/>
      <c r="AB102" s="44"/>
      <c r="AC102" s="50">
        <f>IF($A102="","",IF(O102="공실","공실",IF(O102="자가사용","자가사용",IF(L102="","만료일 없음",IF(L102&lt;$C$6,"만료 경과",IF(L102&lt;=EDATE($C$6,12),"12개월 내","12개월 초과"))))))</f>
      </c>
      <c r="AD102" s="50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2">
        <f>IF(OR($A102="",C102=""),"",ROUND(C102*IF($G$9="평",3.305785,1),2))</f>
      </c>
      <c r="AF102" s="52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4"/>
      <c r="G103" s="45"/>
      <c r="H103" s="45"/>
      <c r="I103" s="45"/>
      <c r="J103" s="46"/>
      <c r="K103" s="46"/>
      <c r="L103" s="46"/>
      <c r="M103" s="44"/>
      <c r="N103" s="44"/>
      <c r="O103" s="44"/>
      <c r="P103" s="43"/>
      <c r="Q103" s="47">
        <f>IF(OR($A103="",C103=""),"",AE103/3.305785)</f>
      </c>
      <c r="R103" s="47">
        <f>IF(OR($A103="",D103=""),"",AF103/3.305785)</f>
      </c>
      <c r="S103" s="48">
        <f>IF(OR($A103="",C103="",D103=""),"",IF(C103&gt;0,D103/C103*100,""))</f>
      </c>
      <c r="T103" s="49">
        <f>IF(OR($A103="",O103&lt;&gt;"임대중",F103&lt;&gt;"상가",G103=""),"",G103+H103*100)</f>
      </c>
      <c r="U103" s="50">
        <f>IF(T103="","",IF(T103&lt;=$C$7,"○ 전면적용","× 초과 (5%상한 미적용)"))</f>
      </c>
      <c r="V103" s="50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50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9">
        <f>IF(OR($A103="",O103&lt;&gt;"임대중"),"",IF(H103="",0,H103)+IF(I103="",0,I103))</f>
      </c>
      <c r="Y103" s="49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4"/>
      <c r="AA103" s="51"/>
      <c r="AB103" s="44"/>
      <c r="AC103" s="50">
        <f>IF($A103="","",IF(O103="공실","공실",IF(O103="자가사용","자가사용",IF(L103="","만료일 없음",IF(L103&lt;$C$6,"만료 경과",IF(L103&lt;=EDATE($C$6,12),"12개월 내","12개월 초과"))))))</f>
      </c>
      <c r="AD103" s="50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2">
        <f>IF(OR($A103="",C103=""),"",ROUND(C103*IF($G$9="평",3.305785,1),2))</f>
      </c>
      <c r="AF103" s="52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4"/>
      <c r="G104" s="45"/>
      <c r="H104" s="45"/>
      <c r="I104" s="45"/>
      <c r="J104" s="46"/>
      <c r="K104" s="46"/>
      <c r="L104" s="46"/>
      <c r="M104" s="44"/>
      <c r="N104" s="44"/>
      <c r="O104" s="44"/>
      <c r="P104" s="43"/>
      <c r="Q104" s="47">
        <f>IF(OR($A104="",C104=""),"",AE104/3.305785)</f>
      </c>
      <c r="R104" s="47">
        <f>IF(OR($A104="",D104=""),"",AF104/3.305785)</f>
      </c>
      <c r="S104" s="48">
        <f>IF(OR($A104="",C104="",D104=""),"",IF(C104&gt;0,D104/C104*100,""))</f>
      </c>
      <c r="T104" s="49">
        <f>IF(OR($A104="",O104&lt;&gt;"임대중",F104&lt;&gt;"상가",G104=""),"",G104+H104*100)</f>
      </c>
      <c r="U104" s="50">
        <f>IF(T104="","",IF(T104&lt;=$C$7,"○ 전면적용","× 초과 (5%상한 미적용)"))</f>
      </c>
      <c r="V104" s="50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50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9">
        <f>IF(OR($A104="",O104&lt;&gt;"임대중"),"",IF(H104="",0,H104)+IF(I104="",0,I104))</f>
      </c>
      <c r="Y104" s="49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4"/>
      <c r="AA104" s="51"/>
      <c r="AB104" s="44"/>
      <c r="AC104" s="50">
        <f>IF($A104="","",IF(O104="공실","공실",IF(O104="자가사용","자가사용",IF(L104="","만료일 없음",IF(L104&lt;$C$6,"만료 경과",IF(L104&lt;=EDATE($C$6,12),"12개월 내","12개월 초과"))))))</f>
      </c>
      <c r="AD104" s="50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2">
        <f>IF(OR($A104="",C104=""),"",ROUND(C104*IF($G$9="평",3.305785,1),2))</f>
      </c>
      <c r="AF104" s="52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4"/>
      <c r="G105" s="45"/>
      <c r="H105" s="45"/>
      <c r="I105" s="45"/>
      <c r="J105" s="46"/>
      <c r="K105" s="46"/>
      <c r="L105" s="46"/>
      <c r="M105" s="44"/>
      <c r="N105" s="44"/>
      <c r="O105" s="44"/>
      <c r="P105" s="43"/>
      <c r="Q105" s="47">
        <f>IF(OR($A105="",C105=""),"",AE105/3.305785)</f>
      </c>
      <c r="R105" s="47">
        <f>IF(OR($A105="",D105=""),"",AF105/3.305785)</f>
      </c>
      <c r="S105" s="48">
        <f>IF(OR($A105="",C105="",D105=""),"",IF(C105&gt;0,D105/C105*100,""))</f>
      </c>
      <c r="T105" s="49">
        <f>IF(OR($A105="",O105&lt;&gt;"임대중",F105&lt;&gt;"상가",G105=""),"",G105+H105*100)</f>
      </c>
      <c r="U105" s="50">
        <f>IF(T105="","",IF(T105&lt;=$C$7,"○ 전면적용","× 초과 (5%상한 미적용)"))</f>
      </c>
      <c r="V105" s="50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50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9">
        <f>IF(OR($A105="",O105&lt;&gt;"임대중"),"",IF(H105="",0,H105)+IF(I105="",0,I105))</f>
      </c>
      <c r="Y105" s="49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4"/>
      <c r="AA105" s="51"/>
      <c r="AB105" s="44"/>
      <c r="AC105" s="50">
        <f>IF($A105="","",IF(O105="공실","공실",IF(O105="자가사용","자가사용",IF(L105="","만료일 없음",IF(L105&lt;$C$6,"만료 경과",IF(L105&lt;=EDATE($C$6,12),"12개월 내","12개월 초과"))))))</f>
      </c>
      <c r="AD105" s="50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2">
        <f>IF(OR($A105="",C105=""),"",ROUND(C105*IF($G$9="평",3.305785,1),2))</f>
      </c>
      <c r="AF105" s="52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4"/>
      <c r="G106" s="45"/>
      <c r="H106" s="45"/>
      <c r="I106" s="45"/>
      <c r="J106" s="46"/>
      <c r="K106" s="46"/>
      <c r="L106" s="46"/>
      <c r="M106" s="44"/>
      <c r="N106" s="44"/>
      <c r="O106" s="44"/>
      <c r="P106" s="43"/>
      <c r="Q106" s="47">
        <f>IF(OR($A106="",C106=""),"",AE106/3.305785)</f>
      </c>
      <c r="R106" s="47">
        <f>IF(OR($A106="",D106=""),"",AF106/3.305785)</f>
      </c>
      <c r="S106" s="48">
        <f>IF(OR($A106="",C106="",D106=""),"",IF(C106&gt;0,D106/C106*100,""))</f>
      </c>
      <c r="T106" s="49">
        <f>IF(OR($A106="",O106&lt;&gt;"임대중",F106&lt;&gt;"상가",G106=""),"",G106+H106*100)</f>
      </c>
      <c r="U106" s="50">
        <f>IF(T106="","",IF(T106&lt;=$C$7,"○ 전면적용","× 초과 (5%상한 미적용)"))</f>
      </c>
      <c r="V106" s="50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50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9">
        <f>IF(OR($A106="",O106&lt;&gt;"임대중"),"",IF(H106="",0,H106)+IF(I106="",0,I106))</f>
      </c>
      <c r="Y106" s="49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4"/>
      <c r="AA106" s="51"/>
      <c r="AB106" s="44"/>
      <c r="AC106" s="50">
        <f>IF($A106="","",IF(O106="공실","공실",IF(O106="자가사용","자가사용",IF(L106="","만료일 없음",IF(L106&lt;$C$6,"만료 경과",IF(L106&lt;=EDATE($C$6,12),"12개월 내","12개월 초과"))))))</f>
      </c>
      <c r="AD106" s="50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2">
        <f>IF(OR($A106="",C106=""),"",ROUND(C106*IF($G$9="평",3.305785,1),2))</f>
      </c>
      <c r="AF106" s="52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4"/>
      <c r="G107" s="45"/>
      <c r="H107" s="45"/>
      <c r="I107" s="45"/>
      <c r="J107" s="46"/>
      <c r="K107" s="46"/>
      <c r="L107" s="46"/>
      <c r="M107" s="44"/>
      <c r="N107" s="44"/>
      <c r="O107" s="44"/>
      <c r="P107" s="43"/>
      <c r="Q107" s="47">
        <f>IF(OR($A107="",C107=""),"",AE107/3.305785)</f>
      </c>
      <c r="R107" s="47">
        <f>IF(OR($A107="",D107=""),"",AF107/3.305785)</f>
      </c>
      <c r="S107" s="48">
        <f>IF(OR($A107="",C107="",D107=""),"",IF(C107&gt;0,D107/C107*100,""))</f>
      </c>
      <c r="T107" s="49">
        <f>IF(OR($A107="",O107&lt;&gt;"임대중",F107&lt;&gt;"상가",G107=""),"",G107+H107*100)</f>
      </c>
      <c r="U107" s="50">
        <f>IF(T107="","",IF(T107&lt;=$C$7,"○ 전면적용","× 초과 (5%상한 미적용)"))</f>
      </c>
      <c r="V107" s="50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50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9">
        <f>IF(OR($A107="",O107&lt;&gt;"임대중"),"",IF(H107="",0,H107)+IF(I107="",0,I107))</f>
      </c>
      <c r="Y107" s="49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4"/>
      <c r="AA107" s="51"/>
      <c r="AB107" s="44"/>
      <c r="AC107" s="50">
        <f>IF($A107="","",IF(O107="공실","공실",IF(O107="자가사용","자가사용",IF(L107="","만료일 없음",IF(L107&lt;$C$6,"만료 경과",IF(L107&lt;=EDATE($C$6,12),"12개월 내","12개월 초과"))))))</f>
      </c>
      <c r="AD107" s="50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2">
        <f>IF(OR($A107="",C107=""),"",ROUND(C107*IF($G$9="평",3.305785,1),2))</f>
      </c>
      <c r="AF107" s="52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4"/>
      <c r="G108" s="45"/>
      <c r="H108" s="45"/>
      <c r="I108" s="45"/>
      <c r="J108" s="46"/>
      <c r="K108" s="46"/>
      <c r="L108" s="46"/>
      <c r="M108" s="44"/>
      <c r="N108" s="44"/>
      <c r="O108" s="44"/>
      <c r="P108" s="43"/>
      <c r="Q108" s="47">
        <f>IF(OR($A108="",C108=""),"",AE108/3.305785)</f>
      </c>
      <c r="R108" s="47">
        <f>IF(OR($A108="",D108=""),"",AF108/3.305785)</f>
      </c>
      <c r="S108" s="48">
        <f>IF(OR($A108="",C108="",D108=""),"",IF(C108&gt;0,D108/C108*100,""))</f>
      </c>
      <c r="T108" s="49">
        <f>IF(OR($A108="",O108&lt;&gt;"임대중",F108&lt;&gt;"상가",G108=""),"",G108+H108*100)</f>
      </c>
      <c r="U108" s="50">
        <f>IF(T108="","",IF(T108&lt;=$C$7,"○ 전면적용","× 초과 (5%상한 미적용)"))</f>
      </c>
      <c r="V108" s="50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50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9">
        <f>IF(OR($A108="",O108&lt;&gt;"임대중"),"",IF(H108="",0,H108)+IF(I108="",0,I108))</f>
      </c>
      <c r="Y108" s="49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4"/>
      <c r="AA108" s="51"/>
      <c r="AB108" s="44"/>
      <c r="AC108" s="50">
        <f>IF($A108="","",IF(O108="공실","공실",IF(O108="자가사용","자가사용",IF(L108="","만료일 없음",IF(L108&lt;$C$6,"만료 경과",IF(L108&lt;=EDATE($C$6,12),"12개월 내","12개월 초과"))))))</f>
      </c>
      <c r="AD108" s="50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2">
        <f>IF(OR($A108="",C108=""),"",ROUND(C108*IF($G$9="평",3.305785,1),2))</f>
      </c>
      <c r="AF108" s="52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4"/>
      <c r="G109" s="45"/>
      <c r="H109" s="45"/>
      <c r="I109" s="45"/>
      <c r="J109" s="46"/>
      <c r="K109" s="46"/>
      <c r="L109" s="46"/>
      <c r="M109" s="44"/>
      <c r="N109" s="44"/>
      <c r="O109" s="44"/>
      <c r="P109" s="43"/>
      <c r="Q109" s="47">
        <f>IF(OR($A109="",C109=""),"",AE109/3.305785)</f>
      </c>
      <c r="R109" s="47">
        <f>IF(OR($A109="",D109=""),"",AF109/3.305785)</f>
      </c>
      <c r="S109" s="48">
        <f>IF(OR($A109="",C109="",D109=""),"",IF(C109&gt;0,D109/C109*100,""))</f>
      </c>
      <c r="T109" s="49">
        <f>IF(OR($A109="",O109&lt;&gt;"임대중",F109&lt;&gt;"상가",G109=""),"",G109+H109*100)</f>
      </c>
      <c r="U109" s="50">
        <f>IF(T109="","",IF(T109&lt;=$C$7,"○ 전면적용","× 초과 (5%상한 미적용)"))</f>
      </c>
      <c r="V109" s="50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50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9">
        <f>IF(OR($A109="",O109&lt;&gt;"임대중"),"",IF(H109="",0,H109)+IF(I109="",0,I109))</f>
      </c>
      <c r="Y109" s="49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4"/>
      <c r="AA109" s="51"/>
      <c r="AB109" s="44"/>
      <c r="AC109" s="50">
        <f>IF($A109="","",IF(O109="공실","공실",IF(O109="자가사용","자가사용",IF(L109="","만료일 없음",IF(L109&lt;$C$6,"만료 경과",IF(L109&lt;=EDATE($C$6,12),"12개월 내","12개월 초과"))))))</f>
      </c>
      <c r="AD109" s="50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2">
        <f>IF(OR($A109="",C109=""),"",ROUND(C109*IF($G$9="평",3.305785,1),2))</f>
      </c>
      <c r="AF109" s="52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4"/>
      <c r="G110" s="45"/>
      <c r="H110" s="45"/>
      <c r="I110" s="45"/>
      <c r="J110" s="46"/>
      <c r="K110" s="46"/>
      <c r="L110" s="46"/>
      <c r="M110" s="44"/>
      <c r="N110" s="44"/>
      <c r="O110" s="44"/>
      <c r="P110" s="43"/>
      <c r="Q110" s="47">
        <f>IF(OR($A110="",C110=""),"",AE110/3.305785)</f>
      </c>
      <c r="R110" s="47">
        <f>IF(OR($A110="",D110=""),"",AF110/3.305785)</f>
      </c>
      <c r="S110" s="48">
        <f>IF(OR($A110="",C110="",D110=""),"",IF(C110&gt;0,D110/C110*100,""))</f>
      </c>
      <c r="T110" s="49">
        <f>IF(OR($A110="",O110&lt;&gt;"임대중",F110&lt;&gt;"상가",G110=""),"",G110+H110*100)</f>
      </c>
      <c r="U110" s="50">
        <f>IF(T110="","",IF(T110&lt;=$C$7,"○ 전면적용","× 초과 (5%상한 미적용)"))</f>
      </c>
      <c r="V110" s="50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50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9">
        <f>IF(OR($A110="",O110&lt;&gt;"임대중"),"",IF(H110="",0,H110)+IF(I110="",0,I110))</f>
      </c>
      <c r="Y110" s="49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4"/>
      <c r="AA110" s="51"/>
      <c r="AB110" s="44"/>
      <c r="AC110" s="50">
        <f>IF($A110="","",IF(O110="공실","공실",IF(O110="자가사용","자가사용",IF(L110="","만료일 없음",IF(L110&lt;$C$6,"만료 경과",IF(L110&lt;=EDATE($C$6,12),"12개월 내","12개월 초과"))))))</f>
      </c>
      <c r="AD110" s="50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2">
        <f>IF(OR($A110="",C110=""),"",ROUND(C110*IF($G$9="평",3.305785,1),2))</f>
      </c>
      <c r="AF110" s="52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4"/>
      <c r="G111" s="45"/>
      <c r="H111" s="45"/>
      <c r="I111" s="45"/>
      <c r="J111" s="46"/>
      <c r="K111" s="46"/>
      <c r="L111" s="46"/>
      <c r="M111" s="44"/>
      <c r="N111" s="44"/>
      <c r="O111" s="44"/>
      <c r="P111" s="43"/>
      <c r="Q111" s="47">
        <f>IF(OR($A111="",C111=""),"",AE111/3.305785)</f>
      </c>
      <c r="R111" s="47">
        <f>IF(OR($A111="",D111=""),"",AF111/3.305785)</f>
      </c>
      <c r="S111" s="48">
        <f>IF(OR($A111="",C111="",D111=""),"",IF(C111&gt;0,D111/C111*100,""))</f>
      </c>
      <c r="T111" s="49">
        <f>IF(OR($A111="",O111&lt;&gt;"임대중",F111&lt;&gt;"상가",G111=""),"",G111+H111*100)</f>
      </c>
      <c r="U111" s="50">
        <f>IF(T111="","",IF(T111&lt;=$C$7,"○ 전면적용","× 초과 (5%상한 미적용)"))</f>
      </c>
      <c r="V111" s="50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50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9">
        <f>IF(OR($A111="",O111&lt;&gt;"임대중"),"",IF(H111="",0,H111)+IF(I111="",0,I111))</f>
      </c>
      <c r="Y111" s="49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4"/>
      <c r="AA111" s="51"/>
      <c r="AB111" s="44"/>
      <c r="AC111" s="50">
        <f>IF($A111="","",IF(O111="공실","공실",IF(O111="자가사용","자가사용",IF(L111="","만료일 없음",IF(L111&lt;$C$6,"만료 경과",IF(L111&lt;=EDATE($C$6,12),"12개월 내","12개월 초과"))))))</f>
      </c>
      <c r="AD111" s="50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2">
        <f>IF(OR($A111="",C111=""),"",ROUND(C111*IF($G$9="평",3.305785,1),2))</f>
      </c>
      <c r="AF111" s="52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4"/>
      <c r="G112" s="45"/>
      <c r="H112" s="45"/>
      <c r="I112" s="45"/>
      <c r="J112" s="46"/>
      <c r="K112" s="46"/>
      <c r="L112" s="46"/>
      <c r="M112" s="44"/>
      <c r="N112" s="44"/>
      <c r="O112" s="44"/>
      <c r="P112" s="43"/>
      <c r="Q112" s="47">
        <f>IF(OR($A112="",C112=""),"",AE112/3.305785)</f>
      </c>
      <c r="R112" s="47">
        <f>IF(OR($A112="",D112=""),"",AF112/3.305785)</f>
      </c>
      <c r="S112" s="48">
        <f>IF(OR($A112="",C112="",D112=""),"",IF(C112&gt;0,D112/C112*100,""))</f>
      </c>
      <c r="T112" s="49">
        <f>IF(OR($A112="",O112&lt;&gt;"임대중",F112&lt;&gt;"상가",G112=""),"",G112+H112*100)</f>
      </c>
      <c r="U112" s="50">
        <f>IF(T112="","",IF(T112&lt;=$C$7,"○ 전면적용","× 초과 (5%상한 미적용)"))</f>
      </c>
      <c r="V112" s="50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50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9">
        <f>IF(OR($A112="",O112&lt;&gt;"임대중"),"",IF(H112="",0,H112)+IF(I112="",0,I112))</f>
      </c>
      <c r="Y112" s="49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4"/>
      <c r="AA112" s="51"/>
      <c r="AB112" s="44"/>
      <c r="AC112" s="50">
        <f>IF($A112="","",IF(O112="공실","공실",IF(O112="자가사용","자가사용",IF(L112="","만료일 없음",IF(L112&lt;$C$6,"만료 경과",IF(L112&lt;=EDATE($C$6,12),"12개월 내","12개월 초과"))))))</f>
      </c>
      <c r="AD112" s="50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2">
        <f>IF(OR($A112="",C112=""),"",ROUND(C112*IF($G$9="평",3.305785,1),2))</f>
      </c>
      <c r="AF112" s="52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3" t="s">
        <v>196</v>
      </c>
    </row>
    <row r="3" ht="15" customHeight="1" spans="1:4" x14ac:dyDescent="0.25">
      <c r="A3" s="54" t="s">
        <v>197</v>
      </c>
      <c r="B3" s="55" t="s">
        <v>198</v>
      </c>
      <c r="C3" s="55" t="s">
        <v>199</v>
      </c>
      <c r="D3" s="55" t="s">
        <v>200</v>
      </c>
    </row>
    <row r="4" ht="15" customHeight="1" spans="1:4" x14ac:dyDescent="0.25">
      <c r="A4" s="56" t="s">
        <v>201</v>
      </c>
      <c r="B4" s="57" t="s">
        <v>202</v>
      </c>
      <c r="C4" s="58">
        <f>TEXT(SUM(렌트롤!$H$13:$H$112),"#,##0")&amp;"원"</f>
      </c>
      <c r="D4" s="59" t="s">
        <v>203</v>
      </c>
    </row>
    <row r="5" ht="15" customHeight="1" spans="1:4" x14ac:dyDescent="0.25">
      <c r="A5" s="56" t="s">
        <v>204</v>
      </c>
      <c r="B5" s="57" t="s">
        <v>205</v>
      </c>
      <c r="C5" s="58">
        <f>TEXT(SUM(렌트롤!$AE$13:$AE$112),"#,##0.00")&amp;"㎡ / "&amp;TEXT(SUM(렌트롤!$Q$13:$Q$112),"#,##0.0")&amp;"평"</f>
      </c>
      <c r="D5" s="59" t="s">
        <v>206</v>
      </c>
    </row>
    <row r="6" ht="15" customHeight="1" spans="1:4" x14ac:dyDescent="0.25">
      <c r="A6" s="56" t="s">
        <v>207</v>
      </c>
      <c r="B6" s="57" t="s">
        <v>208</v>
      </c>
      <c r="C6" s="58">
        <f>TEXT(SUM(렌트롤!$AF$13:$AF$112),"#,##0.00")&amp;"㎡ / "&amp;TEXT(SUM(렌트롤!$R$13:$R$112),"#,##0.0")&amp;"평"</f>
      </c>
      <c r="D6" s="59" t="s">
        <v>209</v>
      </c>
    </row>
    <row r="7" ht="15" customHeight="1" spans="1:4" x14ac:dyDescent="0.25">
      <c r="A7" s="56" t="s">
        <v>210</v>
      </c>
      <c r="B7" s="57" t="s">
        <v>211</v>
      </c>
      <c r="C7" s="58">
        <f>IF(렌트롤!$S$10="","산출 불가 (임대·전용면적 쌍 없음)",TEXT(렌트롤!$S$10,"0.0")&amp;"%")</f>
      </c>
      <c r="D7" s="60" t="s">
        <v>212</v>
      </c>
    </row>
    <row r="8" ht="15" customHeight="1" spans="1:4" x14ac:dyDescent="0.25">
      <c r="A8" s="56" t="s">
        <v>213</v>
      </c>
      <c r="B8" s="57" t="s">
        <v>214</v>
      </c>
      <c r="C8" s="58">
        <f>COUNTIFS(렌트롤!$A$13:$A$112,"&lt;&gt;",렌트롤!$C$13:$C$112,"")&amp;"건"</f>
      </c>
      <c r="D8" s="60" t="s">
        <v>215</v>
      </c>
    </row>
    <row r="9" ht="15" customHeight="1" spans="1:4" x14ac:dyDescent="0.25">
      <c r="A9" s="56" t="s">
        <v>216</v>
      </c>
      <c r="B9" s="57" t="s">
        <v>217</v>
      </c>
      <c r="C9" s="58">
        <f>COUNTIFS(렌트롤!$A$13:$A$112,"&lt;&gt;",렌트롤!$D$13:$D$112,"")&amp;"건"</f>
      </c>
      <c r="D9" s="60" t="s">
        <v>218</v>
      </c>
    </row>
    <row r="10" ht="15" customHeight="1" spans="1:4" x14ac:dyDescent="0.25">
      <c r="A10" s="56" t="s">
        <v>219</v>
      </c>
      <c r="B10" s="57" t="s">
        <v>220</v>
      </c>
      <c r="C10" s="58">
        <f>COUNTIF(렌트롤!$S$13:$S$112,"&gt;100")&amp;"건 100% 초과 / "&amp;COUNTIF(렌트롤!$S$13:$S$112,"&lt;30")&amp;"건 30% 미만"</f>
      </c>
      <c r="D10" s="60" t="s">
        <v>221</v>
      </c>
    </row>
    <row r="11" ht="15" customHeight="1" spans="1:4" x14ac:dyDescent="0.25">
      <c r="A11" s="56" t="s">
        <v>222</v>
      </c>
      <c r="B11" s="57" t="s">
        <v>223</v>
      </c>
      <c r="C11" s="58">
        <f>COUNTIF(렌트롤!$W$13:$W$112,"만료*")&amp;" / "&amp;COUNTIF(렌트롤!$O$13:$O$112,"임대중")&amp;"건"</f>
      </c>
      <c r="D11" s="60" t="s">
        <v>224</v>
      </c>
    </row>
    <row r="12" ht="15" customHeight="1" spans="1:4" x14ac:dyDescent="0.25">
      <c r="A12" s="56" t="s">
        <v>225</v>
      </c>
      <c r="B12" s="57" t="s">
        <v>226</v>
      </c>
      <c r="C12" s="58">
        <f>IF(COUNTIF(렌트롤!$W$13:$W$112,"만료*")&gt;COUNTIF(렌트롤!$O$13:$O$112,"임대중")/2,"발행 차단","통과")</f>
      </c>
      <c r="D12" s="59" t="s">
        <v>227</v>
      </c>
    </row>
    <row r="13" ht="15" customHeight="1" spans="1:4" x14ac:dyDescent="0.25">
      <c r="A13" s="56" t="s">
        <v>228</v>
      </c>
      <c r="B13" s="61" t="s">
        <v>229</v>
      </c>
      <c r="C13" s="58">
        <f>COUNTIF(렌트롤!$W$13:$W$112,"임박*")&amp;"건"</f>
      </c>
      <c r="D13" s="59" t="s">
        <v>230</v>
      </c>
    </row>
    <row r="14" ht="15" customHeight="1" spans="1:4" x14ac:dyDescent="0.25">
      <c r="A14" s="56" t="s">
        <v>231</v>
      </c>
      <c r="B14" s="57" t="s">
        <v>232</v>
      </c>
      <c r="C14" s="58">
        <f>COUNTIF(렌트롤!$V$13:$V$112,"확인 필요")&amp;"건"</f>
      </c>
      <c r="D14" s="59" t="s">
        <v>233</v>
      </c>
    </row>
    <row r="15" ht="15" customHeight="1" spans="1:4" x14ac:dyDescent="0.25">
      <c r="A15" s="56" t="s">
        <v>234</v>
      </c>
      <c r="B15" s="57" t="s">
        <v>235</v>
      </c>
      <c r="C15" s="58">
        <f>COUNTIF(렌트롤!$N$13:$N$112,"미확인")&amp;"건"</f>
      </c>
      <c r="D15" s="59" t="s">
        <v>236</v>
      </c>
    </row>
    <row r="16" ht="15" customHeight="1" spans="1:4" x14ac:dyDescent="0.25">
      <c r="A16" s="56" t="s">
        <v>237</v>
      </c>
      <c r="B16" s="57" t="s">
        <v>238</v>
      </c>
      <c r="C16" s="58">
        <f>COUNTIFS(렌트롤!$A$13:$A$112,"&lt;&gt;",렌트롤!$E$13:$E$112,"")&amp;"건"</f>
      </c>
      <c r="D16" s="59" t="s">
        <v>239</v>
      </c>
    </row>
    <row r="17" ht="15" customHeight="1" spans="1:4" x14ac:dyDescent="0.25">
      <c r="A17" s="56" t="s">
        <v>240</v>
      </c>
      <c r="B17" s="57" t="s">
        <v>241</v>
      </c>
      <c r="C17" s="58">
        <f>COUNTIF(렌트롤!$U$13:$U$112,"×*")&amp;"건"</f>
      </c>
      <c r="D17" s="59" t="s">
        <v>242</v>
      </c>
    </row>
    <row r="18" ht="15" customHeight="1" spans="1:4" x14ac:dyDescent="0.25">
      <c r="A18" s="56" t="s">
        <v>243</v>
      </c>
      <c r="B18" s="57" t="s">
        <v>125</v>
      </c>
      <c r="C18" s="58">
        <f>IF(렌트롤!$C$5="","미기재",TEXT(렌트롤!$C$5,"yyyy-mm-dd"))</f>
      </c>
      <c r="D18" s="59" t="s">
        <v>244</v>
      </c>
    </row>
    <row r="19" ht="15" customHeight="1" spans="1:4" x14ac:dyDescent="0.25">
      <c r="A19" s="56" t="s">
        <v>245</v>
      </c>
      <c r="B19" s="57" t="s">
        <v>246</v>
      </c>
      <c r="C19" s="58">
        <f>COUNTIF(렌트롤!$O$13:$O$112,"공실")&amp;"건 / "&amp;COUNTIF(렌트롤!$O$13:$O$112,"자가사용")&amp;"건"</f>
      </c>
      <c r="D19" s="59" t="s">
        <v>247</v>
      </c>
    </row>
    <row r="21" ht="21.75" customHeight="1" spans="1:1" x14ac:dyDescent="0.25">
      <c r="A21" s="62" t="s">
        <v>248</v>
      </c>
    </row>
    <row r="22" ht="15" customHeight="1" spans="1:4" x14ac:dyDescent="0.25">
      <c r="A22" s="55" t="s">
        <v>249</v>
      </c>
      <c r="B22" s="55" t="s">
        <v>250</v>
      </c>
      <c r="C22" s="55" t="s">
        <v>251</v>
      </c>
      <c r="D22" s="55" t="s">
        <v>252</v>
      </c>
    </row>
    <row r="23" ht="27.75" customHeight="1" spans="1:4" x14ac:dyDescent="0.25">
      <c r="A23" s="63" t="s">
        <v>253</v>
      </c>
      <c r="B23" s="59" t="s">
        <v>254</v>
      </c>
      <c r="C23" s="64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</c>
      <c r="D23" s="59" t="s">
        <v>255</v>
      </c>
    </row>
    <row r="24" ht="27.75" customHeight="1" spans="1:4" x14ac:dyDescent="0.25">
      <c r="A24" s="63" t="s">
        <v>256</v>
      </c>
      <c r="B24" s="60" t="s">
        <v>257</v>
      </c>
      <c r="C24" s="64">
        <f>IF(AND(C23="충족",COUNTA(렌트롤!$C$13:$C$112)=COUNTA(렌트롤!$A$13:$A$112),COUNTA(렌트롤!$F$13:$F$112)=COUNTA(렌트롤!$A$13:$A$112),COUNTIF(렌트롤!$AD$13:$AD$112,"관리비 누락")=0),"충족","미달")</f>
      </c>
      <c r="D24" s="59" t="s">
        <v>258</v>
      </c>
    </row>
    <row r="25" ht="27.75" customHeight="1" spans="1:4" x14ac:dyDescent="0.25">
      <c r="A25" s="63" t="s">
        <v>259</v>
      </c>
      <c r="B25" s="60" t="s">
        <v>260</v>
      </c>
      <c r="C25" s="64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</c>
      <c r="D25" s="59" t="s">
        <v>261</v>
      </c>
    </row>
    <row r="26" ht="27.75" customHeight="1" spans="1:4" x14ac:dyDescent="0.25">
      <c r="A26" s="65" t="s">
        <v>262</v>
      </c>
      <c r="B26" s="59" t="s">
        <v>263</v>
      </c>
      <c r="C26" s="64">
        <f>IF(AND(COUNTA(렌트롤!$A$13:$A$112)&gt;0,COUNTA(렌트롤!$C$13:$C$112)=COUNTA(렌트롤!$A$13:$A$112),COUNTA(렌트롤!$D$13:$D$112)=COUNTA(렌트롤!$A$13:$A$112),COUNTIF(렌트롤!$S$13:$S$112,"&gt;100")=0),"충족","미달")</f>
      </c>
      <c r="D26" s="59" t="s">
        <v>264</v>
      </c>
    </row>
    <row r="28" ht="21" customHeight="1" spans="2:3" x14ac:dyDescent="0.25">
      <c r="B28" s="66" t="s">
        <v>265</v>
      </c>
      <c r="C28" s="67">
        <f>IF(C25="충족","R3 표준형",IF(C24="충족","R2 필요형",IF(C23="충족","R1 최소형","R0 미달")))</f>
      </c>
    </row>
    <row r="29" ht="31.5" customHeight="1" spans="2:4" x14ac:dyDescent="0.25">
      <c r="B29" s="66" t="s">
        <v>266</v>
      </c>
      <c r="C29" s="68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68"/>
    </row>
    <row r="31" ht="15" customHeight="1" spans="2:2" x14ac:dyDescent="0.25">
      <c r="B31" s="69" t="s">
        <v>267</v>
      </c>
    </row>
    <row r="33" ht="19.5" customHeight="1" spans="1:1" x14ac:dyDescent="0.25">
      <c r="A33" s="70" t="s">
        <v>268</v>
      </c>
    </row>
    <row r="34" ht="15" customHeight="1" spans="1:4" x14ac:dyDescent="0.25">
      <c r="A34" s="54" t="s">
        <v>197</v>
      </c>
      <c r="B34" s="55" t="s">
        <v>198</v>
      </c>
      <c r="C34" s="55" t="s">
        <v>199</v>
      </c>
      <c r="D34" s="55" t="s">
        <v>200</v>
      </c>
    </row>
    <row r="35" ht="15" customHeight="1" spans="1:4" x14ac:dyDescent="0.25">
      <c r="A35" s="56" t="s">
        <v>269</v>
      </c>
      <c r="B35" s="57" t="s">
        <v>270</v>
      </c>
      <c r="C35" s="58">
        <f>COUNTIF(렌트롤!$AD$13:$AD$112,"월세 누락")&amp;"건 월세 누락 / "&amp;COUNTIF(렌트롤!$AD$13:$AD$112,"금액 중복")&amp;"건 그룹 금액 중복"</f>
      </c>
      <c r="D35" s="59" t="s">
        <v>271</v>
      </c>
    </row>
    <row r="36" ht="15" customHeight="1" spans="1:4" x14ac:dyDescent="0.25">
      <c r="A36" s="56" t="s">
        <v>272</v>
      </c>
      <c r="B36" s="57" t="s">
        <v>88</v>
      </c>
      <c r="C36" s="58">
        <f>IF(렌트롤!$C$5="","⚠ 렌트롤 기준일 없음 — TODAY() 사용 중(재현 불가)","렌트롤 기준일로 고정: "&amp;TEXT(렌트롤!$C$5,"yyyy-mm-dd"))</f>
      </c>
      <c r="D36" s="60" t="s">
        <v>273</v>
      </c>
    </row>
    <row r="37" ht="15" customHeight="1" spans="1:4" x14ac:dyDescent="0.25">
      <c r="A37" s="56" t="s">
        <v>274</v>
      </c>
      <c r="B37" s="57" t="s">
        <v>275</v>
      </c>
      <c r="C37" s="58">
        <f>IF(렌트롤!$J$4="","연면적 미입력",TEXT(SUM(렌트롤!$AE$13:$AE$112)/렌트롤!$J$4,"0.0%"))</f>
      </c>
      <c r="D37" s="59" t="s">
        <v>276</v>
      </c>
    </row>
    <row r="38" ht="15" customHeight="1" spans="1:4" x14ac:dyDescent="0.25">
      <c r="A38" s="56" t="s">
        <v>277</v>
      </c>
      <c r="B38" s="57" t="s">
        <v>278</v>
      </c>
      <c r="C38" s="58">
        <f>IF(OR(렌트롤!$J$3="",렌트롤!$J$3-SUM(렌트롤!$G$13:$G$112)&lt;=0),"매각가 미입력",TEXT(SUM(렌트롤!$H$13:$H$112)*12/(렌트롤!$J$3-SUM(렌트롤!$G$13:$G$112)),"0.00%"))</f>
      </c>
      <c r="D38" s="59" t="s">
        <v>279</v>
      </c>
    </row>
    <row r="39" ht="15" customHeight="1" spans="1:4" x14ac:dyDescent="0.25">
      <c r="A39" s="56" t="s">
        <v>280</v>
      </c>
      <c r="B39" s="57" t="s">
        <v>281</v>
      </c>
      <c r="C39" s="58">
        <f>IF(OR(렌트롤!$J$3="",렌트롤!$J$3-SUM(렌트롤!$G$13:$G$112)&lt;=0),"매각가 미입력",TEXT((SUM(렌트롤!$H$13:$H$112)+N(렌트롤!$J$8))*12/(렌트롤!$J$3-SUM(렌트롤!$G$13:$G$112)),"0.00%"))</f>
      </c>
      <c r="D39" s="60" t="s">
        <v>282</v>
      </c>
    </row>
    <row r="40" ht="15" customHeight="1" spans="1:4" x14ac:dyDescent="0.25">
      <c r="A40" s="56" t="s">
        <v>283</v>
      </c>
      <c r="B40" s="61" t="s">
        <v>284</v>
      </c>
      <c r="C40" s="58">
        <f>IF(SUM(렌트롤!$H$13:$H$112)=0,"-",TEXT((SUMIFS(렌트롤!$H$13:$H$112,렌트롤!$AC$13:$AC$112,"12개월 내")+SUMIFS(렌트롤!$H$13:$H$112,렌트롤!$AC$13:$AC$112,"만료 경과"))/SUM(렌트롤!$H$13:$H$112),"0.0%"))</f>
      </c>
      <c r="D40" s="59" t="s">
        <v>285</v>
      </c>
    </row>
    <row r="41" ht="26.25" customHeight="1" spans="1:4" x14ac:dyDescent="0.25">
      <c r="A41" s="56" t="s">
        <v>286</v>
      </c>
      <c r="B41" s="57" t="s">
        <v>287</v>
      </c>
      <c r="C41" s="58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</c>
      <c r="D41" s="59" t="s">
        <v>288</v>
      </c>
    </row>
    <row r="42" ht="15" customHeight="1" spans="1:4" x14ac:dyDescent="0.25">
      <c r="A42" s="56" t="s">
        <v>289</v>
      </c>
      <c r="B42" s="57" t="s">
        <v>290</v>
      </c>
      <c r="C42" s="58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</c>
      <c r="D42" s="59" t="s">
        <v>291</v>
      </c>
    </row>
    <row r="43" ht="15" customHeight="1" spans="1:4" x14ac:dyDescent="0.25">
      <c r="A43" s="56" t="s">
        <v>292</v>
      </c>
      <c r="B43" s="57" t="s">
        <v>293</v>
      </c>
      <c r="C43" s="58">
        <f>COUNTIF(렌트롤!$AA$13:$AA$112,"&gt;0")&amp;"건"</f>
      </c>
      <c r="D43" s="60" t="s">
        <v>294</v>
      </c>
    </row>
    <row r="44" ht="15" customHeight="1" spans="1:4" x14ac:dyDescent="0.25">
      <c r="A44" s="56" t="s">
        <v>295</v>
      </c>
      <c r="B44" s="57" t="s">
        <v>296</v>
      </c>
      <c r="C44" s="58">
        <f>COUNT(렌트롤!$J$5:$J$7)&amp;"/3칸, 출처 "&amp;COUNTA(렌트롤!$M$5:$M$7)&amp;"/3칸"</f>
      </c>
      <c r="D44" s="60" t="s">
        <v>297</v>
      </c>
    </row>
    <row r="45" ht="15" customHeight="1" spans="1:4" x14ac:dyDescent="0.25">
      <c r="A45" s="56" t="s">
        <v>298</v>
      </c>
      <c r="B45" s="61" t="s">
        <v>299</v>
      </c>
      <c r="C45" s="58">
        <f>IF(AND(C25="충족",COUNT(렌트롤!$J$5:$J$7)&gt;=1,COUNTA(렌트롤!$M$5:$M$7)&gt;=COUNT(렌트롤!$J$5:$J$7),COUNTIFS(렌트롤!$O$13:$O$112,"임대중",렌트롤!$Z$13:$Z$112,"")=0),"충족","미달")</f>
      </c>
      <c r="D45" s="60" t="s">
        <v>300</v>
      </c>
    </row>
    <row r="46" ht="15" customHeight="1" spans="1:4" x14ac:dyDescent="0.25">
      <c r="A46" s="56" t="s">
        <v>301</v>
      </c>
      <c r="B46" s="71" t="s">
        <v>302</v>
      </c>
      <c r="C46" s="72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</c>
      <c r="D46" s="73" t="s">
        <v>303</v>
      </c>
    </row>
    <row r="47" ht="15" customHeight="1" spans="1:4" x14ac:dyDescent="0.25">
      <c r="A47" s="56" t="s">
        <v>304</v>
      </c>
      <c r="B47" s="71" t="s">
        <v>305</v>
      </c>
      <c r="C47" s="58">
        <f>IF(렌트롤!$G$9="평","평 — C·D열 × 3.305785 = AE·AF열(㎡)",IF(렌트롤!$G$9="㎡","㎡ — C·D열 = AE·AF열","⚠ G9 단위 미선택"))</f>
      </c>
      <c r="D47" s="73" t="s">
        <v>306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3" t="s">
        <v>307</v>
      </c>
    </row>
    <row r="2" ht="15" customHeight="1" spans="1:1" x14ac:dyDescent="0.25">
      <c r="A2" s="12" t="s">
        <v>308</v>
      </c>
    </row>
    <row r="3" ht="24" customHeight="1" spans="1:9" x14ac:dyDescent="0.25">
      <c r="A3" s="74" t="s">
        <v>309</v>
      </c>
      <c r="B3" s="74" t="s">
        <v>310</v>
      </c>
      <c r="C3" s="74" t="s">
        <v>311</v>
      </c>
      <c r="D3" s="74" t="s">
        <v>312</v>
      </c>
      <c r="E3" s="74" t="s">
        <v>313</v>
      </c>
      <c r="F3" s="74" t="s">
        <v>314</v>
      </c>
      <c r="G3" s="74" t="s">
        <v>315</v>
      </c>
      <c r="H3" s="74" t="s">
        <v>316</v>
      </c>
      <c r="I3" s="74" t="s">
        <v>317</v>
      </c>
    </row>
    <row r="4" ht="30" customHeight="1" spans="1:9" x14ac:dyDescent="0.25">
      <c r="A4" s="75" t="s">
        <v>318</v>
      </c>
      <c r="B4" s="76" t="s">
        <v>45</v>
      </c>
      <c r="C4" s="77" t="s">
        <v>141</v>
      </c>
      <c r="D4" s="78" t="s">
        <v>319</v>
      </c>
      <c r="E4" s="79" t="s">
        <v>320</v>
      </c>
      <c r="F4" s="79" t="s">
        <v>321</v>
      </c>
      <c r="G4" s="80" t="s">
        <v>322</v>
      </c>
      <c r="H4" s="80" t="s">
        <v>323</v>
      </c>
      <c r="I4" s="79" t="s">
        <v>324</v>
      </c>
    </row>
    <row r="5" ht="64.5" customHeight="1" spans="1:9" x14ac:dyDescent="0.25">
      <c r="A5" s="75" t="s">
        <v>325</v>
      </c>
      <c r="B5" s="76" t="s">
        <v>148</v>
      </c>
      <c r="C5" s="81" t="s">
        <v>142</v>
      </c>
      <c r="D5" s="78" t="s">
        <v>326</v>
      </c>
      <c r="E5" s="79" t="s">
        <v>320</v>
      </c>
      <c r="F5" s="79" t="s">
        <v>327</v>
      </c>
      <c r="G5" s="80" t="s">
        <v>328</v>
      </c>
      <c r="H5" s="80" t="s">
        <v>329</v>
      </c>
      <c r="I5" s="79" t="s">
        <v>330</v>
      </c>
    </row>
    <row r="6" ht="39" customHeight="1" spans="1:9" x14ac:dyDescent="0.25">
      <c r="A6" s="75" t="s">
        <v>331</v>
      </c>
      <c r="B6" s="76" t="s">
        <v>332</v>
      </c>
      <c r="C6" s="81" t="s">
        <v>142</v>
      </c>
      <c r="D6" s="78" t="s">
        <v>333</v>
      </c>
      <c r="E6" s="79" t="s">
        <v>334</v>
      </c>
      <c r="F6" s="79" t="s">
        <v>335</v>
      </c>
      <c r="G6" s="80" t="s">
        <v>336</v>
      </c>
      <c r="H6" s="80" t="s">
        <v>337</v>
      </c>
      <c r="I6" s="80" t="s">
        <v>338</v>
      </c>
    </row>
    <row r="7" ht="51.75" customHeight="1" spans="1:9" x14ac:dyDescent="0.25">
      <c r="A7" s="75" t="s">
        <v>339</v>
      </c>
      <c r="B7" s="76" t="s">
        <v>340</v>
      </c>
      <c r="C7" s="81" t="s">
        <v>143</v>
      </c>
      <c r="D7" s="78" t="s">
        <v>333</v>
      </c>
      <c r="E7" s="79" t="s">
        <v>334</v>
      </c>
      <c r="F7" s="79" t="s">
        <v>341</v>
      </c>
      <c r="G7" s="80" t="s">
        <v>342</v>
      </c>
      <c r="H7" s="80" t="s">
        <v>343</v>
      </c>
      <c r="I7" s="79" t="s">
        <v>344</v>
      </c>
    </row>
    <row r="8" ht="30" customHeight="1" spans="1:9" x14ac:dyDescent="0.25">
      <c r="A8" s="75" t="s">
        <v>345</v>
      </c>
      <c r="B8" s="76" t="s">
        <v>47</v>
      </c>
      <c r="C8" s="77" t="s">
        <v>141</v>
      </c>
      <c r="D8" s="78" t="s">
        <v>319</v>
      </c>
      <c r="E8" s="79" t="s">
        <v>320</v>
      </c>
      <c r="F8" s="79" t="s">
        <v>346</v>
      </c>
      <c r="G8" s="80" t="s">
        <v>347</v>
      </c>
      <c r="H8" s="80" t="s">
        <v>348</v>
      </c>
      <c r="I8" s="80" t="s">
        <v>349</v>
      </c>
    </row>
    <row r="9" ht="30" customHeight="1" spans="1:9" x14ac:dyDescent="0.25">
      <c r="A9" s="75" t="s">
        <v>350</v>
      </c>
      <c r="B9" s="76" t="s">
        <v>149</v>
      </c>
      <c r="C9" s="81" t="s">
        <v>142</v>
      </c>
      <c r="D9" s="78" t="s">
        <v>333</v>
      </c>
      <c r="E9" s="79" t="s">
        <v>351</v>
      </c>
      <c r="F9" s="79" t="s">
        <v>352</v>
      </c>
      <c r="G9" s="80" t="s">
        <v>353</v>
      </c>
      <c r="H9" s="80" t="s">
        <v>354</v>
      </c>
      <c r="I9" s="80" t="s">
        <v>355</v>
      </c>
    </row>
    <row r="10" ht="30" customHeight="1" spans="1:9" x14ac:dyDescent="0.25">
      <c r="A10" s="75" t="s">
        <v>356</v>
      </c>
      <c r="B10" s="76" t="s">
        <v>150</v>
      </c>
      <c r="C10" s="77" t="s">
        <v>141</v>
      </c>
      <c r="D10" s="78" t="s">
        <v>319</v>
      </c>
      <c r="E10" s="79" t="s">
        <v>357</v>
      </c>
      <c r="F10" s="79" t="s">
        <v>358</v>
      </c>
      <c r="G10" s="80" t="s">
        <v>359</v>
      </c>
      <c r="H10" s="80" t="s">
        <v>360</v>
      </c>
      <c r="I10" s="80" t="s">
        <v>361</v>
      </c>
    </row>
    <row r="11" ht="30" customHeight="1" spans="1:9" x14ac:dyDescent="0.25">
      <c r="A11" s="75" t="s">
        <v>362</v>
      </c>
      <c r="B11" s="76" t="s">
        <v>151</v>
      </c>
      <c r="C11" s="77" t="s">
        <v>141</v>
      </c>
      <c r="D11" s="78" t="s">
        <v>319</v>
      </c>
      <c r="E11" s="79" t="s">
        <v>357</v>
      </c>
      <c r="F11" s="79" t="s">
        <v>363</v>
      </c>
      <c r="G11" s="80" t="s">
        <v>364</v>
      </c>
      <c r="H11" s="80" t="s">
        <v>365</v>
      </c>
      <c r="I11" s="80" t="s">
        <v>366</v>
      </c>
    </row>
    <row r="12" ht="30" customHeight="1" spans="1:9" x14ac:dyDescent="0.25">
      <c r="A12" s="75" t="s">
        <v>367</v>
      </c>
      <c r="B12" s="76" t="s">
        <v>152</v>
      </c>
      <c r="C12" s="81" t="s">
        <v>142</v>
      </c>
      <c r="D12" s="78" t="s">
        <v>333</v>
      </c>
      <c r="E12" s="79" t="s">
        <v>357</v>
      </c>
      <c r="F12" s="79" t="s">
        <v>368</v>
      </c>
      <c r="G12" s="80" t="s">
        <v>369</v>
      </c>
      <c r="H12" s="80" t="s">
        <v>370</v>
      </c>
      <c r="I12" s="80" t="s">
        <v>371</v>
      </c>
    </row>
    <row r="13" ht="30" customHeight="1" spans="1:9" x14ac:dyDescent="0.25">
      <c r="A13" s="75" t="s">
        <v>372</v>
      </c>
      <c r="B13" s="76" t="s">
        <v>153</v>
      </c>
      <c r="C13" s="82" t="s">
        <v>144</v>
      </c>
      <c r="D13" s="78" t="s">
        <v>326</v>
      </c>
      <c r="E13" s="79" t="s">
        <v>373</v>
      </c>
      <c r="F13" s="79" t="s">
        <v>374</v>
      </c>
      <c r="G13" s="80" t="s">
        <v>375</v>
      </c>
      <c r="H13" s="80" t="s">
        <v>376</v>
      </c>
      <c r="I13" s="80" t="s">
        <v>377</v>
      </c>
    </row>
    <row r="14" ht="30" customHeight="1" spans="1:9" x14ac:dyDescent="0.25">
      <c r="A14" s="75" t="s">
        <v>378</v>
      </c>
      <c r="B14" s="76" t="s">
        <v>154</v>
      </c>
      <c r="C14" s="81" t="s">
        <v>142</v>
      </c>
      <c r="D14" s="78" t="s">
        <v>333</v>
      </c>
      <c r="E14" s="79" t="s">
        <v>373</v>
      </c>
      <c r="F14" s="79" t="s">
        <v>379</v>
      </c>
      <c r="G14" s="80" t="s">
        <v>380</v>
      </c>
      <c r="H14" s="80" t="s">
        <v>381</v>
      </c>
      <c r="I14" s="79" t="s">
        <v>382</v>
      </c>
    </row>
    <row r="15" ht="30" customHeight="1" spans="1:9" x14ac:dyDescent="0.25">
      <c r="A15" s="75" t="s">
        <v>383</v>
      </c>
      <c r="B15" s="76" t="s">
        <v>53</v>
      </c>
      <c r="C15" s="77" t="s">
        <v>141</v>
      </c>
      <c r="D15" s="78" t="s">
        <v>319</v>
      </c>
      <c r="E15" s="79" t="s">
        <v>373</v>
      </c>
      <c r="F15" s="79" t="s">
        <v>384</v>
      </c>
      <c r="G15" s="80" t="s">
        <v>385</v>
      </c>
      <c r="H15" s="80" t="s">
        <v>386</v>
      </c>
      <c r="I15" s="80" t="s">
        <v>387</v>
      </c>
    </row>
    <row r="16" ht="39" customHeight="1" spans="1:9" x14ac:dyDescent="0.25">
      <c r="A16" s="75" t="s">
        <v>388</v>
      </c>
      <c r="B16" s="76" t="s">
        <v>155</v>
      </c>
      <c r="C16" s="82" t="s">
        <v>144</v>
      </c>
      <c r="D16" s="78" t="s">
        <v>326</v>
      </c>
      <c r="E16" s="79" t="s">
        <v>389</v>
      </c>
      <c r="F16" s="79" t="s">
        <v>390</v>
      </c>
      <c r="G16" s="80" t="s">
        <v>391</v>
      </c>
      <c r="H16" s="80" t="s">
        <v>392</v>
      </c>
      <c r="I16" s="80" t="s">
        <v>393</v>
      </c>
    </row>
    <row r="17" ht="30" customHeight="1" spans="1:9" x14ac:dyDescent="0.25">
      <c r="A17" s="75" t="s">
        <v>394</v>
      </c>
      <c r="B17" s="76" t="s">
        <v>156</v>
      </c>
      <c r="C17" s="82" t="s">
        <v>144</v>
      </c>
      <c r="D17" s="78" t="s">
        <v>333</v>
      </c>
      <c r="E17" s="79" t="s">
        <v>395</v>
      </c>
      <c r="F17" s="79" t="s">
        <v>396</v>
      </c>
      <c r="G17" s="80" t="s">
        <v>397</v>
      </c>
      <c r="H17" s="80" t="s">
        <v>398</v>
      </c>
      <c r="I17" s="80" t="s">
        <v>399</v>
      </c>
    </row>
    <row r="18" ht="30" customHeight="1" spans="1:9" x14ac:dyDescent="0.25">
      <c r="A18" s="75" t="s">
        <v>400</v>
      </c>
      <c r="B18" s="76" t="s">
        <v>49</v>
      </c>
      <c r="C18" s="77" t="s">
        <v>141</v>
      </c>
      <c r="D18" s="78" t="s">
        <v>319</v>
      </c>
      <c r="E18" s="79" t="s">
        <v>401</v>
      </c>
      <c r="F18" s="79" t="s">
        <v>402</v>
      </c>
      <c r="G18" s="80" t="s">
        <v>403</v>
      </c>
      <c r="H18" s="80" t="s">
        <v>404</v>
      </c>
      <c r="I18" s="80" t="s">
        <v>405</v>
      </c>
    </row>
    <row r="19" ht="30" customHeight="1" spans="1:9" x14ac:dyDescent="0.25">
      <c r="A19" s="75" t="s">
        <v>406</v>
      </c>
      <c r="B19" s="76" t="s">
        <v>157</v>
      </c>
      <c r="C19" s="83" t="s">
        <v>145</v>
      </c>
      <c r="D19" s="78" t="s">
        <v>407</v>
      </c>
      <c r="E19" s="79" t="s">
        <v>320</v>
      </c>
      <c r="F19" s="79" t="s">
        <v>408</v>
      </c>
      <c r="G19" s="80" t="s">
        <v>409</v>
      </c>
      <c r="H19" s="80" t="s">
        <v>409</v>
      </c>
      <c r="I19" s="79" t="s">
        <v>410</v>
      </c>
    </row>
    <row r="20" ht="30" customHeight="1" spans="1:9" x14ac:dyDescent="0.25">
      <c r="A20" s="84" t="s">
        <v>411</v>
      </c>
      <c r="B20" s="85" t="s">
        <v>158</v>
      </c>
      <c r="C20" s="86" t="s">
        <v>146</v>
      </c>
      <c r="D20" s="87" t="s">
        <v>146</v>
      </c>
      <c r="E20" s="88" t="s">
        <v>412</v>
      </c>
      <c r="F20" s="89" t="s">
        <v>413</v>
      </c>
      <c r="G20" s="89" t="s">
        <v>414</v>
      </c>
      <c r="H20" s="89" t="s">
        <v>415</v>
      </c>
      <c r="I20" s="89" t="s">
        <v>145</v>
      </c>
    </row>
    <row r="21" ht="30" customHeight="1" spans="1:9" x14ac:dyDescent="0.25">
      <c r="A21" s="84" t="s">
        <v>416</v>
      </c>
      <c r="B21" s="85" t="s">
        <v>159</v>
      </c>
      <c r="C21" s="86" t="s">
        <v>146</v>
      </c>
      <c r="D21" s="87" t="s">
        <v>146</v>
      </c>
      <c r="E21" s="88" t="s">
        <v>412</v>
      </c>
      <c r="F21" s="89" t="s">
        <v>417</v>
      </c>
      <c r="G21" s="89" t="s">
        <v>414</v>
      </c>
      <c r="H21" s="89" t="s">
        <v>415</v>
      </c>
      <c r="I21" s="89" t="s">
        <v>145</v>
      </c>
    </row>
    <row r="22" ht="39" customHeight="1" spans="1:9" x14ac:dyDescent="0.25">
      <c r="A22" s="84" t="s">
        <v>418</v>
      </c>
      <c r="B22" s="85" t="s">
        <v>160</v>
      </c>
      <c r="C22" s="86" t="s">
        <v>146</v>
      </c>
      <c r="D22" s="87" t="s">
        <v>146</v>
      </c>
      <c r="E22" s="89" t="s">
        <v>419</v>
      </c>
      <c r="F22" s="89" t="s">
        <v>420</v>
      </c>
      <c r="G22" s="89" t="s">
        <v>421</v>
      </c>
      <c r="H22" s="89" t="s">
        <v>422</v>
      </c>
      <c r="I22" s="89" t="s">
        <v>145</v>
      </c>
    </row>
    <row r="23" ht="30" customHeight="1" spans="1:9" x14ac:dyDescent="0.25">
      <c r="A23" s="84" t="s">
        <v>423</v>
      </c>
      <c r="B23" s="85" t="s">
        <v>161</v>
      </c>
      <c r="C23" s="86" t="s">
        <v>146</v>
      </c>
      <c r="D23" s="87" t="s">
        <v>146</v>
      </c>
      <c r="E23" s="88" t="s">
        <v>424</v>
      </c>
      <c r="F23" s="89" t="s">
        <v>425</v>
      </c>
      <c r="G23" s="89" t="s">
        <v>414</v>
      </c>
      <c r="H23" s="89" t="s">
        <v>426</v>
      </c>
      <c r="I23" s="89" t="s">
        <v>145</v>
      </c>
    </row>
    <row r="24" ht="39" customHeight="1" spans="1:9" x14ac:dyDescent="0.25">
      <c r="A24" s="84" t="s">
        <v>427</v>
      </c>
      <c r="B24" s="85" t="s">
        <v>162</v>
      </c>
      <c r="C24" s="86" t="s">
        <v>146</v>
      </c>
      <c r="D24" s="87" t="s">
        <v>146</v>
      </c>
      <c r="E24" s="89" t="s">
        <v>428</v>
      </c>
      <c r="F24" s="88" t="s">
        <v>429</v>
      </c>
      <c r="G24" s="89" t="s">
        <v>414</v>
      </c>
      <c r="H24" s="89" t="s">
        <v>430</v>
      </c>
      <c r="I24" s="89" t="s">
        <v>145</v>
      </c>
    </row>
    <row r="25" ht="39" customHeight="1" spans="1:9" x14ac:dyDescent="0.25">
      <c r="A25" s="84" t="s">
        <v>431</v>
      </c>
      <c r="B25" s="85" t="s">
        <v>163</v>
      </c>
      <c r="C25" s="86" t="s">
        <v>146</v>
      </c>
      <c r="D25" s="87" t="s">
        <v>146</v>
      </c>
      <c r="E25" s="88" t="s">
        <v>432</v>
      </c>
      <c r="F25" s="88" t="s">
        <v>433</v>
      </c>
      <c r="G25" s="89" t="s">
        <v>414</v>
      </c>
      <c r="H25" s="89" t="s">
        <v>434</v>
      </c>
      <c r="I25" s="89" t="s">
        <v>145</v>
      </c>
    </row>
    <row r="26" ht="30" customHeight="1" spans="1:9" x14ac:dyDescent="0.25">
      <c r="A26" s="84" t="s">
        <v>435</v>
      </c>
      <c r="B26" s="85" t="s">
        <v>164</v>
      </c>
      <c r="C26" s="86" t="s">
        <v>146</v>
      </c>
      <c r="D26" s="87" t="s">
        <v>146</v>
      </c>
      <c r="E26" s="88" t="s">
        <v>436</v>
      </c>
      <c r="F26" s="88" t="s">
        <v>437</v>
      </c>
      <c r="G26" s="89" t="s">
        <v>414</v>
      </c>
      <c r="H26" s="89" t="s">
        <v>438</v>
      </c>
      <c r="I26" s="89" t="s">
        <v>145</v>
      </c>
    </row>
    <row r="27" ht="30" customHeight="1" spans="1:9" x14ac:dyDescent="0.25">
      <c r="A27" s="84" t="s">
        <v>439</v>
      </c>
      <c r="B27" s="85" t="s">
        <v>165</v>
      </c>
      <c r="C27" s="86" t="s">
        <v>146</v>
      </c>
      <c r="D27" s="87" t="s">
        <v>146</v>
      </c>
      <c r="E27" s="88" t="s">
        <v>424</v>
      </c>
      <c r="F27" s="89" t="s">
        <v>440</v>
      </c>
      <c r="G27" s="89" t="s">
        <v>414</v>
      </c>
      <c r="H27" s="89" t="s">
        <v>441</v>
      </c>
      <c r="I27" s="89" t="s">
        <v>145</v>
      </c>
    </row>
    <row r="28" ht="30" customHeight="1" spans="1:9" x14ac:dyDescent="0.25">
      <c r="A28" s="84" t="s">
        <v>442</v>
      </c>
      <c r="B28" s="85" t="s">
        <v>166</v>
      </c>
      <c r="C28" s="86" t="s">
        <v>146</v>
      </c>
      <c r="D28" s="87" t="s">
        <v>146</v>
      </c>
      <c r="E28" s="88" t="s">
        <v>443</v>
      </c>
      <c r="F28" s="89" t="s">
        <v>444</v>
      </c>
      <c r="G28" s="89" t="s">
        <v>414</v>
      </c>
      <c r="H28" s="89" t="s">
        <v>445</v>
      </c>
      <c r="I28" s="89" t="s">
        <v>145</v>
      </c>
    </row>
    <row r="30" ht="15" customHeight="1" spans="1:1" x14ac:dyDescent="0.25">
      <c r="A30" s="90" t="s">
        <v>446</v>
      </c>
    </row>
    <row r="31" ht="15" customHeight="1" spans="1:6" x14ac:dyDescent="0.25">
      <c r="A31" s="55" t="s">
        <v>249</v>
      </c>
      <c r="B31" s="55" t="s">
        <v>447</v>
      </c>
      <c r="C31" s="55"/>
      <c r="D31" s="55"/>
      <c r="E31" s="55" t="s">
        <v>448</v>
      </c>
      <c r="F31" s="55" t="s">
        <v>252</v>
      </c>
    </row>
    <row r="32" ht="33.75" customHeight="1" spans="1:6" x14ac:dyDescent="0.25">
      <c r="A32" s="91" t="s">
        <v>449</v>
      </c>
      <c r="B32" s="92" t="s">
        <v>450</v>
      </c>
      <c r="C32" s="92"/>
      <c r="D32" s="92"/>
      <c r="E32" s="59" t="s">
        <v>451</v>
      </c>
      <c r="F32" s="59" t="s">
        <v>452</v>
      </c>
    </row>
    <row r="33" ht="33.75" customHeight="1" spans="1:6" x14ac:dyDescent="0.25">
      <c r="A33" s="93" t="s">
        <v>141</v>
      </c>
      <c r="B33" s="92" t="s">
        <v>453</v>
      </c>
      <c r="C33" s="92"/>
      <c r="D33" s="92"/>
      <c r="E33" s="59" t="s">
        <v>454</v>
      </c>
      <c r="F33" s="59" t="s">
        <v>255</v>
      </c>
    </row>
    <row r="34" ht="33.75" customHeight="1" spans="1:6" x14ac:dyDescent="0.25">
      <c r="A34" s="94" t="s">
        <v>142</v>
      </c>
      <c r="B34" s="92" t="s">
        <v>455</v>
      </c>
      <c r="C34" s="92"/>
      <c r="D34" s="92"/>
      <c r="E34" s="60" t="s">
        <v>456</v>
      </c>
      <c r="F34" s="59" t="s">
        <v>457</v>
      </c>
    </row>
    <row r="35" ht="33.75" customHeight="1" spans="1:6" x14ac:dyDescent="0.25">
      <c r="A35" s="95" t="s">
        <v>144</v>
      </c>
      <c r="B35" s="92" t="s">
        <v>458</v>
      </c>
      <c r="C35" s="92"/>
      <c r="D35" s="92"/>
      <c r="E35" s="60" t="s">
        <v>459</v>
      </c>
      <c r="F35" s="59" t="s">
        <v>261</v>
      </c>
    </row>
    <row r="37" ht="18.75" customHeight="1" spans="1:1" x14ac:dyDescent="0.25">
      <c r="A37" s="90" t="s">
        <v>460</v>
      </c>
    </row>
    <row r="38" ht="27.75" customHeight="1" spans="2:6" x14ac:dyDescent="0.25">
      <c r="B38" s="96" t="s">
        <v>461</v>
      </c>
      <c r="C38" s="96"/>
      <c r="D38" s="96"/>
      <c r="E38" s="59" t="s">
        <v>462</v>
      </c>
      <c r="F38" s="59"/>
    </row>
    <row r="39" ht="27.75" customHeight="1" spans="2:6" x14ac:dyDescent="0.25">
      <c r="B39" s="96" t="s">
        <v>463</v>
      </c>
      <c r="C39" s="96"/>
      <c r="D39" s="96"/>
      <c r="E39" s="59" t="s">
        <v>464</v>
      </c>
      <c r="F39" s="59"/>
    </row>
    <row r="40" ht="27.75" customHeight="1" spans="2:6" x14ac:dyDescent="0.25">
      <c r="B40" s="96" t="s">
        <v>465</v>
      </c>
      <c r="C40" s="96"/>
      <c r="D40" s="96"/>
      <c r="E40" s="59" t="s">
        <v>466</v>
      </c>
      <c r="F40" s="59"/>
    </row>
    <row r="41" ht="27.75" customHeight="1" spans="2:6" x14ac:dyDescent="0.25">
      <c r="B41" s="96" t="s">
        <v>467</v>
      </c>
      <c r="C41" s="96"/>
      <c r="D41" s="96"/>
      <c r="E41" s="59" t="s">
        <v>468</v>
      </c>
      <c r="F41" s="59"/>
    </row>
    <row r="44" ht="22.5" customHeight="1" spans="1:1" x14ac:dyDescent="0.25">
      <c r="A44" s="2" t="s">
        <v>469</v>
      </c>
    </row>
    <row r="45" ht="15" customHeight="1" spans="1:9" x14ac:dyDescent="0.25">
      <c r="A45" s="74" t="s">
        <v>309</v>
      </c>
      <c r="B45" s="74" t="s">
        <v>310</v>
      </c>
      <c r="C45" s="74" t="s">
        <v>311</v>
      </c>
      <c r="D45" s="74" t="s">
        <v>312</v>
      </c>
      <c r="E45" s="74" t="s">
        <v>313</v>
      </c>
      <c r="F45" s="74" t="s">
        <v>314</v>
      </c>
      <c r="G45" s="74" t="s">
        <v>315</v>
      </c>
      <c r="H45" s="74" t="s">
        <v>316</v>
      </c>
      <c r="I45" s="74" t="s">
        <v>317</v>
      </c>
    </row>
    <row r="46" ht="26.25" customHeight="1" spans="1:9" x14ac:dyDescent="0.25">
      <c r="A46" s="75" t="s">
        <v>470</v>
      </c>
      <c r="B46" s="76" t="s">
        <v>167</v>
      </c>
      <c r="C46" s="83" t="s">
        <v>147</v>
      </c>
      <c r="D46" s="78" t="s">
        <v>333</v>
      </c>
      <c r="E46" s="79" t="s">
        <v>471</v>
      </c>
      <c r="F46" s="79" t="s">
        <v>472</v>
      </c>
      <c r="G46" s="80" t="s">
        <v>473</v>
      </c>
      <c r="H46" s="80" t="s">
        <v>474</v>
      </c>
      <c r="I46" s="79" t="s">
        <v>475</v>
      </c>
    </row>
    <row r="47" ht="15" customHeight="1" spans="1:9" x14ac:dyDescent="0.25">
      <c r="A47" s="75" t="s">
        <v>476</v>
      </c>
      <c r="B47" s="76" t="s">
        <v>168</v>
      </c>
      <c r="C47" s="83" t="s">
        <v>147</v>
      </c>
      <c r="D47" s="78" t="s">
        <v>407</v>
      </c>
      <c r="E47" s="79" t="s">
        <v>477</v>
      </c>
      <c r="F47" s="79" t="s">
        <v>478</v>
      </c>
      <c r="G47" s="80" t="s">
        <v>479</v>
      </c>
      <c r="H47" s="80" t="s">
        <v>480</v>
      </c>
      <c r="I47" s="79" t="s">
        <v>481</v>
      </c>
    </row>
    <row r="48" ht="15" customHeight="1" spans="1:9" x14ac:dyDescent="0.25">
      <c r="A48" s="75" t="s">
        <v>482</v>
      </c>
      <c r="B48" s="76" t="s">
        <v>169</v>
      </c>
      <c r="C48" s="83" t="s">
        <v>147</v>
      </c>
      <c r="D48" s="78" t="s">
        <v>333</v>
      </c>
      <c r="E48" s="79" t="s">
        <v>483</v>
      </c>
      <c r="F48" s="79" t="s">
        <v>484</v>
      </c>
      <c r="G48" s="80" t="s">
        <v>485</v>
      </c>
      <c r="H48" s="80" t="s">
        <v>486</v>
      </c>
      <c r="I48" s="79" t="s">
        <v>487</v>
      </c>
    </row>
    <row r="49" ht="15" customHeight="1" spans="1:9" x14ac:dyDescent="0.25">
      <c r="A49" s="75" t="s">
        <v>488</v>
      </c>
      <c r="B49" s="76" t="s">
        <v>170</v>
      </c>
      <c r="C49" s="86" t="s">
        <v>146</v>
      </c>
      <c r="D49" s="78" t="s">
        <v>146</v>
      </c>
      <c r="E49" s="79" t="s">
        <v>320</v>
      </c>
      <c r="F49" s="79" t="s">
        <v>489</v>
      </c>
      <c r="G49" s="80" t="s">
        <v>414</v>
      </c>
      <c r="H49" s="80" t="s">
        <v>490</v>
      </c>
      <c r="I49" s="80" t="s">
        <v>145</v>
      </c>
    </row>
    <row r="50" ht="15" customHeight="1" spans="1:9" x14ac:dyDescent="0.25">
      <c r="A50" s="75" t="s">
        <v>491</v>
      </c>
      <c r="B50" s="76" t="s">
        <v>171</v>
      </c>
      <c r="C50" s="86" t="s">
        <v>146</v>
      </c>
      <c r="D50" s="78" t="s">
        <v>146</v>
      </c>
      <c r="E50" s="79" t="s">
        <v>320</v>
      </c>
      <c r="F50" s="79" t="s">
        <v>492</v>
      </c>
      <c r="G50" s="80" t="s">
        <v>414</v>
      </c>
      <c r="H50" s="80" t="s">
        <v>493</v>
      </c>
      <c r="I50" s="80" t="s">
        <v>145</v>
      </c>
    </row>
    <row r="51" ht="15" customHeight="1" spans="1:9" x14ac:dyDescent="0.25">
      <c r="A51" s="75" t="s">
        <v>494</v>
      </c>
      <c r="B51" s="76" t="s">
        <v>495</v>
      </c>
      <c r="C51" s="83" t="s">
        <v>496</v>
      </c>
      <c r="D51" s="78" t="s">
        <v>333</v>
      </c>
      <c r="E51" s="79" t="s">
        <v>424</v>
      </c>
      <c r="F51" s="79" t="s">
        <v>497</v>
      </c>
      <c r="G51" s="80" t="s">
        <v>498</v>
      </c>
      <c r="H51" s="80" t="s">
        <v>499</v>
      </c>
      <c r="I51" s="79" t="s">
        <v>500</v>
      </c>
    </row>
    <row r="52" ht="15" customHeight="1" spans="1:9" x14ac:dyDescent="0.25">
      <c r="A52" s="75" t="s">
        <v>501</v>
      </c>
      <c r="B52" s="76" t="s">
        <v>463</v>
      </c>
      <c r="C52" s="83" t="s">
        <v>496</v>
      </c>
      <c r="D52" s="78" t="s">
        <v>333</v>
      </c>
      <c r="E52" s="79" t="s">
        <v>502</v>
      </c>
      <c r="F52" s="79" t="s">
        <v>503</v>
      </c>
      <c r="G52" s="80" t="s">
        <v>504</v>
      </c>
      <c r="H52" s="80" t="s">
        <v>505</v>
      </c>
      <c r="I52" s="79" t="s">
        <v>506</v>
      </c>
    </row>
    <row r="53" ht="23.25" customHeight="1" spans="1:9" x14ac:dyDescent="0.25">
      <c r="A53" s="75" t="s">
        <v>507</v>
      </c>
      <c r="B53" s="76" t="s">
        <v>508</v>
      </c>
      <c r="C53" s="83" t="s">
        <v>147</v>
      </c>
      <c r="D53" s="78" t="s">
        <v>326</v>
      </c>
      <c r="E53" s="79" t="s">
        <v>509</v>
      </c>
      <c r="F53" s="80" t="s">
        <v>510</v>
      </c>
      <c r="G53" s="80" t="s">
        <v>511</v>
      </c>
      <c r="H53" s="80" t="s">
        <v>512</v>
      </c>
      <c r="I53" s="79" t="s">
        <v>513</v>
      </c>
    </row>
    <row r="54" ht="23.25" customHeight="1" spans="1:9" x14ac:dyDescent="0.25">
      <c r="A54" s="75" t="s">
        <v>514</v>
      </c>
      <c r="B54" s="76" t="s">
        <v>515</v>
      </c>
      <c r="C54" s="83" t="s">
        <v>496</v>
      </c>
      <c r="D54" s="78" t="s">
        <v>407</v>
      </c>
      <c r="E54" s="79" t="s">
        <v>516</v>
      </c>
      <c r="F54" s="79" t="s">
        <v>517</v>
      </c>
      <c r="G54" s="80" t="s">
        <v>518</v>
      </c>
      <c r="H54" s="80" t="s">
        <v>519</v>
      </c>
      <c r="I54" s="79" t="s">
        <v>520</v>
      </c>
    </row>
    <row r="56" ht="23.1" customHeight="1" spans="1:1" x14ac:dyDescent="0.25">
      <c r="A56" s="2" t="s">
        <v>521</v>
      </c>
    </row>
    <row r="57" ht="15" customHeight="1" spans="1:9" x14ac:dyDescent="0.25">
      <c r="A57" s="74" t="s">
        <v>309</v>
      </c>
      <c r="B57" s="74" t="s">
        <v>310</v>
      </c>
      <c r="C57" s="74" t="s">
        <v>311</v>
      </c>
      <c r="D57" s="74" t="s">
        <v>312</v>
      </c>
      <c r="E57" s="74" t="s">
        <v>313</v>
      </c>
      <c r="F57" s="74" t="s">
        <v>314</v>
      </c>
      <c r="G57" s="74" t="s">
        <v>315</v>
      </c>
      <c r="H57" s="74" t="s">
        <v>316</v>
      </c>
      <c r="I57" s="74" t="s">
        <v>317</v>
      </c>
    </row>
    <row r="58" ht="15" customHeight="1" spans="1:9" x14ac:dyDescent="0.25">
      <c r="A58" s="75" t="s">
        <v>522</v>
      </c>
      <c r="B58" s="76" t="s">
        <v>305</v>
      </c>
      <c r="C58" s="83" t="s">
        <v>145</v>
      </c>
      <c r="D58" s="78" t="s">
        <v>319</v>
      </c>
      <c r="E58" s="79" t="s">
        <v>523</v>
      </c>
      <c r="F58" s="79" t="s">
        <v>524</v>
      </c>
      <c r="G58" s="80" t="s">
        <v>525</v>
      </c>
      <c r="H58" s="80" t="s">
        <v>526</v>
      </c>
      <c r="I58" s="79" t="s">
        <v>527</v>
      </c>
    </row>
    <row r="59" ht="15" customHeight="1" spans="1:9" x14ac:dyDescent="0.25">
      <c r="A59" s="75" t="s">
        <v>528</v>
      </c>
      <c r="B59" s="76" t="s">
        <v>172</v>
      </c>
      <c r="C59" s="97" t="s">
        <v>146</v>
      </c>
      <c r="D59" s="78" t="s">
        <v>146</v>
      </c>
      <c r="E59" s="79" t="s">
        <v>138</v>
      </c>
      <c r="F59" s="79" t="s">
        <v>529</v>
      </c>
      <c r="G59" s="80" t="s">
        <v>530</v>
      </c>
      <c r="H59" s="80" t="s">
        <v>337</v>
      </c>
      <c r="I59" s="79" t="s">
        <v>145</v>
      </c>
    </row>
    <row r="60" ht="15" customHeight="1" spans="1:9" x14ac:dyDescent="0.25">
      <c r="A60" s="75" t="s">
        <v>531</v>
      </c>
      <c r="B60" s="76" t="s">
        <v>173</v>
      </c>
      <c r="C60" s="97" t="s">
        <v>146</v>
      </c>
      <c r="D60" s="78" t="s">
        <v>146</v>
      </c>
      <c r="E60" s="79" t="s">
        <v>138</v>
      </c>
      <c r="F60" s="79" t="s">
        <v>532</v>
      </c>
      <c r="G60" s="80" t="s">
        <v>533</v>
      </c>
      <c r="H60" s="80" t="s">
        <v>343</v>
      </c>
      <c r="I60" s="79" t="s">
        <v>145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