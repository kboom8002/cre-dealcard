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입요령" sheetId="1" state="visible" r:id="rId3"/>
    <sheet name="렌트롤" sheetId="2" state="visible" r:id="rId4"/>
    <sheet name="자동검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<sst xmlns="http://schemas.openxmlformats.org/spreadsheetml/2006/main" count="168" uniqueCount="149">
  <si>
    <r>
      <rPr>
        <b val="true"/>
        <sz val="14"/>
        <color rgb="FF1F3864"/>
        <rFont val="Arial"/>
        <family val="0"/>
        <charset val="1"/>
      </rPr>
      <t xml:space="preserve">CREDEAL </t>
    </r>
    <r>
      <rPr>
        <b val="true"/>
        <sz val="14"/>
        <color rgb="FF1F3864"/>
        <rFont val="Noto Sans CJK SC"/>
        <family val="2"/>
      </rPr>
      <t xml:space="preserve">렌트롤 표준 양식 </t>
    </r>
    <r>
      <rPr>
        <b val="true"/>
        <sz val="14"/>
        <color rgb="FF1F3864"/>
        <rFont val="Arial"/>
        <family val="0"/>
        <charset val="1"/>
      </rPr>
      <t xml:space="preserve">v1.2 — </t>
    </r>
    <r>
      <rPr>
        <b val="true"/>
        <sz val="14"/>
        <color rgb="FF1F3864"/>
        <rFont val="Noto Sans CJK SC"/>
        <family val="2"/>
      </rPr>
      <t xml:space="preserve">기입요령</t>
    </r>
  </si>
  <si>
    <r>
      <rPr>
        <i val="true"/>
        <sz val="10"/>
        <rFont val="Noto Sans CJK SC"/>
        <family val="2"/>
      </rPr>
      <t xml:space="preserve">모바일 </t>
    </r>
    <r>
      <rPr>
        <i val="true"/>
        <sz val="10"/>
        <rFont val="Arial"/>
        <family val="0"/>
        <charset val="1"/>
      </rPr>
      <t xml:space="preserve">IM </t>
    </r>
    <r>
      <rPr>
        <i val="true"/>
        <sz val="10"/>
        <rFont val="Noto Sans CJK SC"/>
        <family val="2"/>
      </rPr>
      <t xml:space="preserve">업로드용 표준 양식입니다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「렌트롤」 시트의 노란색 셀만 입력하세요</t>
    </r>
    <r>
      <rPr>
        <i val="true"/>
        <sz val="10"/>
        <rFont val="Arial"/>
        <family val="0"/>
        <charset val="1"/>
      </rPr>
      <t xml:space="preserve">.</t>
    </r>
  </si>
  <si>
    <t xml:space="preserve">색상 규칙</t>
  </si>
  <si>
    <t xml:space="preserve">노란색</t>
  </si>
  <si>
    <t xml:space="preserve">입력 셀 — 여기만 채웁니다</t>
  </si>
  <si>
    <t xml:space="preserve">회색</t>
  </si>
  <si>
    <t xml:space="preserve">자동계산 — 수식이 들어 있으니 건드리지 마세요</t>
  </si>
  <si>
    <t xml:space="preserve">분홍색</t>
  </si>
  <si>
    <t xml:space="preserve">경고 — 비면 판정이 보류되는 항목</t>
  </si>
  <si>
    <t xml:space="preserve">반드시 채워야 하는 항목</t>
  </si>
  <si>
    <r>
      <rPr>
        <b val="true"/>
        <sz val="10"/>
        <rFont val="Noto Sans CJK SC"/>
        <family val="2"/>
      </rPr>
      <t xml:space="preserve">호실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</si>
  <si>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원본 표기 그대로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9F(1)</t>
    </r>
    <r>
      <rPr>
        <sz val="10"/>
        <rFont val="Noto Sans CJK SC"/>
        <family val="2"/>
      </rPr>
      <t xml:space="preserve">」처럼 한 층에 둘이면 행을 나눠 적습니다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</si>
  <si>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업종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상호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</si>
  <si>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⚠ 계약서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렌트롤에 적힌 문구를 그대로 옮깁니다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「사무실」이면 「사무실」입니다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업종을 추측해 바꾸지 마세요</t>
    </r>
    <r>
      <rPr>
        <sz val="10"/>
        <rFont val="Arial"/>
        <family val="0"/>
        <charset val="1"/>
      </rPr>
      <t xml:space="preserve">.</t>
    </r>
  </si>
  <si>
    <t xml:space="preserve">적용법령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</si>
  <si>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주거로 쓰는 오피스텔은 「주택」입니다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값에 따라 갱신요구권 계산이 완전히 달라집니다</t>
    </r>
    <r>
      <rPr>
        <sz val="10"/>
        <rFont val="Arial"/>
        <family val="0"/>
        <charset val="1"/>
      </rPr>
      <t xml:space="preserve">.</t>
    </r>
  </si>
  <si>
    <t xml:space="preserve">임대상태</t>
  </si>
  <si>
    <r>
      <rPr>
        <sz val="10"/>
        <rFont val="Noto Sans CJK SC"/>
        <family val="2"/>
      </rPr>
      <t xml:space="preserve">임대중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소유자가 직접 쓰는 층은 「자가사용」입니다 — 공실이 아니지만 임대수입도 없습니다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</si>
  <si>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보증금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월세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관리비</t>
    </r>
  </si>
  <si>
    <r>
      <rPr>
        <sz val="10"/>
        <rFont val="Noto Sans CJK SC"/>
        <family val="2"/>
      </rPr>
      <t xml:space="preserve">원 단위 숫자만</t>
    </r>
    <r>
      <rPr>
        <sz val="10"/>
        <rFont val="Arial"/>
        <family val="0"/>
        <charset val="1"/>
      </rPr>
      <t xml:space="preserve">. VAT </t>
    </r>
    <r>
      <rPr>
        <sz val="10"/>
        <rFont val="Noto Sans CJK SC"/>
        <family val="2"/>
      </rPr>
      <t xml:space="preserve">별도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만」처럼 적지 마세요</t>
    </r>
    <r>
      <rPr>
        <sz val="10"/>
        <rFont val="Arial"/>
        <family val="0"/>
        <charset val="1"/>
      </rPr>
      <t xml:space="preserve">.</t>
    </r>
  </si>
  <si>
    <t xml:space="preserve">현 계약 만료일</t>
  </si>
  <si>
    <r>
      <rPr>
        <sz val="10"/>
        <rFont val="Noto Sans CJK SC"/>
        <family val="2"/>
      </rPr>
      <t xml:space="preserve">명도 시점 산출의 기준입니다</t>
    </r>
    <r>
      <rPr>
        <sz val="10"/>
        <rFont val="Arial"/>
        <family val="0"/>
        <charset val="1"/>
      </rPr>
      <t xml:space="preserve">.</t>
    </r>
  </si>
  <si>
    <t xml:space="preserve">비면 판정이 보류되는 항목</t>
  </si>
  <si>
    <t xml:space="preserve">최초 계약일</t>
  </si>
  <si>
    <r>
      <rPr>
        <sz val="10"/>
        <rFont val="Noto Sans CJK SC"/>
        <family val="2"/>
      </rPr>
      <t xml:space="preserve">이 임차인이 처음 입주한 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 계약 시작일과 다릅니다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상가 갱신요구권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년은 이 날짜로 기산합니다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비면 「확인 필요」로 출력됩니다</t>
    </r>
    <r>
      <rPr>
        <sz val="10"/>
        <rFont val="Arial"/>
        <family val="0"/>
        <charset val="1"/>
      </rPr>
      <t xml:space="preserve">.</t>
    </r>
  </si>
  <si>
    <t xml:space="preserve">갱신요구권 행사</t>
  </si>
  <si>
    <r>
      <rPr>
        <sz val="10"/>
        <rFont val="Noto Sans CJK SC"/>
        <family val="2"/>
      </rPr>
      <t xml:space="preserve">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모름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주택은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한정이라 이 값 없이는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묵시적 갱신은 「없음」입니다 — 갱신요구권을 쓴 것이 아닙니다</t>
    </r>
    <r>
      <rPr>
        <sz val="10"/>
        <rFont val="Arial"/>
        <family val="0"/>
        <charset val="1"/>
      </rPr>
      <t xml:space="preserve">.</t>
    </r>
  </si>
  <si>
    <t xml:space="preserve">대항력 요건</t>
  </si>
  <si>
    <r>
      <rPr>
        <sz val="10"/>
        <rFont val="Noto Sans CJK SC"/>
        <family val="2"/>
      </rPr>
      <t xml:space="preserve">사업자등록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주민등록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근거 없이 「없음」으로 적으면 발행이 막힙니다</t>
    </r>
    <r>
      <rPr>
        <sz val="10"/>
        <rFont val="Arial"/>
        <family val="0"/>
        <charset val="1"/>
      </rPr>
      <t xml:space="preserve">.</t>
    </r>
  </si>
  <si>
    <t xml:space="preserve">계약그룹 — 한 임차인이 여러 층을 쓸 때</t>
  </si>
  <si>
    <t xml:space="preserve">쓰는 법</t>
  </si>
  <si>
    <r>
      <rPr>
        <sz val="10"/>
        <rFont val="Noto Sans CJK SC"/>
        <family val="2"/>
      </rPr>
      <t xml:space="preserve">같은 계약이면 같은 이름을 적습니다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1F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2F</t>
    </r>
    <r>
      <rPr>
        <sz val="10"/>
        <rFont val="Noto Sans CJK SC"/>
        <family val="2"/>
      </rPr>
      <t xml:space="preserve">가 한 계약이면 둘 다 「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.</t>
    </r>
  </si>
  <si>
    <t xml:space="preserve">금액 기입</t>
  </si>
  <si>
    <r>
      <rPr>
        <sz val="10"/>
        <rFont val="Noto Sans CJK SC"/>
        <family val="2"/>
      </rPr>
      <t xml:space="preserve">대표 행에만 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월세를 적고 나머지는 비웁니다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면적은 각 행에 적습니다</t>
    </r>
    <r>
      <rPr>
        <sz val="10"/>
        <rFont val="Arial"/>
        <family val="0"/>
        <charset val="1"/>
      </rPr>
      <t xml:space="preserve">.</t>
    </r>
  </si>
  <si>
    <t xml:space="preserve">환산보증금</t>
  </si>
  <si>
    <r>
      <rPr>
        <sz val="10"/>
        <rFont val="Noto Sans CJK SC"/>
        <family val="2"/>
      </rPr>
      <t xml:space="preserve">금액이 있는 대표 행에서만 계산됩니다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층별로 쪼개지 않습니다</t>
    </r>
    <r>
      <rPr>
        <sz val="10"/>
        <rFont val="Arial"/>
        <family val="0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</si>
  <si>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</si>
  <si>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</si>
  <si>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SC"/>
        <family val="2"/>
      </rPr>
      <t xml:space="preserve">「사무실」을 「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스타트업」으로 바꿔 적는 경우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</si>
  <si>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경과년수로 갱신권 역산</t>
  </si>
  <si>
    <r>
      <rPr>
        <sz val="10"/>
        <rFont val="Noto Sans CJK SC"/>
        <family val="2"/>
      </rPr>
      <t xml:space="preserve">주택은 최초계약일로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행사 이력이 있어야 합니다</t>
    </r>
    <r>
      <rPr>
        <sz val="10"/>
        <rFont val="Arial"/>
        <family val="0"/>
        <charset val="1"/>
      </rPr>
      <t xml:space="preserve">.</t>
    </r>
  </si>
  <si>
    <t xml:space="preserve">계 행을 손으로 입력</t>
  </si>
  <si>
    <r>
      <rPr>
        <sz val="10"/>
        <rFont val="Noto Sans CJK SC"/>
        <family val="2"/>
      </rPr>
      <t xml:space="preserve">합계는 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손으로 적으면 각 행 합과 어긋납니다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</si>
  <si>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자가사용을 공실로</t>
  </si>
  <si>
    <r>
      <rPr>
        <sz val="10"/>
        <rFont val="Noto Sans CJK SC"/>
        <family val="2"/>
      </rPr>
      <t xml:space="preserve">자가사용은 임대 전환 여력이지 공실 손실이 아닙니다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구분해 적으세요</t>
    </r>
    <r>
      <rPr>
        <sz val="10"/>
        <rFont val="Arial"/>
        <family val="0"/>
        <charset val="1"/>
      </rPr>
      <t xml:space="preserve">.</t>
    </r>
  </si>
  <si>
    <t xml:space="preserve">환산보증금 직접 계산</t>
  </si>
  <si>
    <r>
      <rPr>
        <sz val="10"/>
        <rFont val="Noto Sans CJK SC"/>
        <family val="2"/>
      </rPr>
      <t xml:space="preserve">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주택에는 이 개념이 없습니다</t>
    </r>
    <r>
      <rPr>
        <sz val="10"/>
        <rFont val="Arial"/>
        <family val="0"/>
        <charset val="1"/>
      </rPr>
      <t xml:space="preserve">.</t>
    </r>
  </si>
  <si>
    <t xml:space="preserve">자동 계산</t>
  </si>
  <si>
    <r>
      <rPr>
        <b val="true"/>
        <sz val="10"/>
        <rFont val="Noto Sans CJK SC"/>
        <family val="2"/>
      </rPr>
      <t xml:space="preserve">임대면적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</si>
  <si>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㎡ </t>
    </r>
    <r>
      <rPr>
        <sz val="10"/>
        <rFont val="Arial"/>
        <family val="0"/>
        <charset val="1"/>
      </rPr>
      <t xml:space="preserve">÷ 3.305785</t>
    </r>
  </si>
  <si>
    <r>
      <rPr>
        <sz val="10"/>
        <rFont val="Noto Sans CJK SC"/>
        <family val="2"/>
      </rPr>
      <t xml:space="preserve">보증금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월세</t>
    </r>
    <r>
      <rPr>
        <sz val="10"/>
        <rFont val="Arial"/>
        <family val="0"/>
        <charset val="1"/>
      </rPr>
      <t xml:space="preserve">×100. </t>
    </r>
    <r>
      <rPr>
        <sz val="10"/>
        <rFont val="Noto Sans CJK SC"/>
        <family val="2"/>
      </rPr>
      <t xml:space="preserve">상가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임대중인 대표 행만</t>
    </r>
    <r>
      <rPr>
        <sz val="10"/>
        <rFont val="Arial"/>
        <family val="0"/>
        <charset val="1"/>
      </rPr>
      <t xml:space="preserve">.</t>
    </r>
  </si>
  <si>
    <t xml:space="preserve">상임법 전면적용</t>
  </si>
  <si>
    <r>
      <rPr>
        <sz val="10"/>
        <rFont val="Noto Sans CJK SC"/>
        <family val="2"/>
      </rPr>
      <t xml:space="preserve">환산보증금이 지역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이하이면 ○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초과하면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인상상한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우선변제권이 적용되지 않습니다</t>
    </r>
    <r>
      <rPr>
        <sz val="10"/>
        <rFont val="Arial"/>
        <family val="0"/>
        <charset val="1"/>
      </rPr>
      <t xml:space="preserve">.</t>
    </r>
  </si>
  <si>
    <t xml:space="preserve">갱신권 잔여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</si>
  <si>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= 10</t>
    </r>
    <r>
      <rPr>
        <sz val="10"/>
        <rFont val="Noto Sans CJK SC"/>
        <family val="2"/>
      </rPr>
      <t xml:space="preserve">년 − 최초계약일 경과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행사 이력에 따라 판정</t>
    </r>
    <r>
      <rPr>
        <sz val="10"/>
        <rFont val="Arial"/>
        <family val="0"/>
        <charset val="1"/>
      </rPr>
      <t xml:space="preserve">.</t>
    </r>
  </si>
  <si>
    <t xml:space="preserve">계약 상태</t>
  </si>
  <si>
    <r>
      <rPr>
        <sz val="10"/>
        <rFont val="Noto Sans CJK SC"/>
        <family val="2"/>
      </rPr>
      <t xml:space="preserve">평가 기준일과 만료일 비교</t>
    </r>
    <r>
      <rPr>
        <sz val="10"/>
        <rFont val="Arial"/>
        <family val="0"/>
        <charset val="1"/>
      </rPr>
      <t xml:space="preserve">. 30</t>
    </r>
    <r>
      <rPr>
        <sz val="10"/>
        <rFont val="Noto Sans CJK SC"/>
        <family val="2"/>
      </rPr>
      <t xml:space="preserve">일 이내면 「임박」</t>
    </r>
    <r>
      <rPr>
        <sz val="10"/>
        <rFont val="Arial"/>
        <family val="0"/>
        <charset val="1"/>
      </rPr>
      <t xml:space="preserve">.</t>
    </r>
  </si>
  <si>
    <t xml:space="preserve">월 총수입</t>
  </si>
  <si>
    <r>
      <rPr>
        <sz val="10"/>
        <rFont val="Noto Sans CJK SC"/>
        <family val="2"/>
      </rPr>
      <t xml:space="preserve">월세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관리비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자가사용은 </t>
    </r>
    <r>
      <rPr>
        <sz val="10"/>
        <rFont val="Arial"/>
        <family val="0"/>
        <charset val="1"/>
      </rPr>
      <t xml:space="preserve">0.</t>
    </r>
  </si>
  <si>
    <r>
      <rPr>
        <b val="true"/>
        <sz val="15"/>
        <color rgb="FF1F3864"/>
        <rFont val="Arial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</rPr>
      <t xml:space="preserve">렌트롤 표준 양식 </t>
    </r>
    <r>
      <rPr>
        <b val="true"/>
        <sz val="15"/>
        <color rgb="FF1F3864"/>
        <rFont val="Arial"/>
        <family val="0"/>
        <charset val="1"/>
      </rPr>
      <t xml:space="preserve">v1.2</t>
    </r>
  </si>
  <si>
    <t xml:space="preserve">물건명</t>
  </si>
  <si>
    <t xml:space="preserve">⚠ 렌트롤 기준일이 비면 신선도 판정을 할 수 없습니다</t>
  </si>
  <si>
    <t xml:space="preserve">소재지</t>
  </si>
  <si>
    <r>
      <rPr>
        <i val="true"/>
        <sz val="9"/>
        <color rgb="FF555555"/>
        <rFont val="Noto Sans CJK SC"/>
        <family val="2"/>
      </rPr>
      <t xml:space="preserve">※ 환산보증금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서울 </t>
    </r>
    <r>
      <rPr>
        <i val="true"/>
        <sz val="9"/>
        <color rgb="FF555555"/>
        <rFont val="Arial"/>
        <family val="0"/>
        <charset val="1"/>
      </rPr>
      <t xml:space="preserve">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과밀억제권역 </t>
    </r>
    <r>
      <rPr>
        <i val="true"/>
        <sz val="9"/>
        <color rgb="FF555555"/>
        <rFont val="Arial"/>
        <family val="0"/>
        <charset val="1"/>
      </rPr>
      <t xml:space="preserve">6.9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광역시 </t>
    </r>
    <r>
      <rPr>
        <i val="true"/>
        <sz val="9"/>
        <color rgb="FF555555"/>
        <rFont val="Arial"/>
        <family val="0"/>
        <charset val="1"/>
      </rPr>
      <t xml:space="preserve">5.4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그 밖 </t>
    </r>
    <r>
      <rPr>
        <i val="true"/>
        <sz val="9"/>
        <color rgb="FF555555"/>
        <rFont val="Arial"/>
        <family val="0"/>
        <charset val="1"/>
      </rPr>
      <t xml:space="preserve">3.7</t>
    </r>
    <r>
      <rPr>
        <i val="true"/>
        <sz val="9"/>
        <color rgb="FF555555"/>
        <rFont val="Noto Sans CJK SC"/>
        <family val="2"/>
      </rPr>
      <t xml:space="preserve">억</t>
    </r>
  </si>
  <si>
    <t xml:space="preserve">렌트롤 기준일</t>
  </si>
  <si>
    <t xml:space="preserve">평가 기준일</t>
  </si>
  <si>
    <r>
      <rPr>
        <b val="true"/>
        <sz val="10"/>
        <rFont val="Noto Sans CJK SC"/>
        <family val="2"/>
      </rPr>
      <t xml:space="preserve">환산보증금 지역기준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</si>
  <si>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t xml:space="preserve">작성자</t>
  </si>
  <si>
    <t xml:space="preserve">작성일</t>
  </si>
  <si>
    <t xml:space="preserve">해상도</t>
  </si>
  <si>
    <t xml:space="preserve">R2</t>
  </si>
  <si>
    <t xml:space="preserve">R1</t>
  </si>
  <si>
    <t xml:space="preserve">R3</t>
  </si>
  <si>
    <t xml:space="preserve">—</t>
  </si>
  <si>
    <r>
      <rPr>
        <b val="true"/>
        <sz val="9"/>
        <color rgb="FFFFFFFF"/>
        <rFont val="Noto Sans CJK SC"/>
        <family val="2"/>
      </rPr>
      <t xml:space="preserve">호실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층</t>
    </r>
  </si>
  <si>
    <t xml:space="preserve">계약그룹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</si>
  <si>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</si>
  <si>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업종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상호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</si>
  <si>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</si>
  <si>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</si>
  <si>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관리비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</si>
  <si>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현 계약 시작일</t>
  </si>
  <si>
    <t xml:space="preserve">비고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</si>
  <si>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</si>
  <si>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</si>
  <si>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갱신권 잔여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</si>
  <si>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계약 상태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</si>
  <si>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 총수입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</si>
  <si>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3F</t>
  </si>
  <si>
    <t xml:space="preserve">사무실</t>
  </si>
  <si>
    <t xml:space="preserve">상가</t>
  </si>
  <si>
    <t xml:space="preserve">모름</t>
  </si>
  <si>
    <t xml:space="preserve">사업자등록</t>
  </si>
  <si>
    <t xml:space="preserve">임대중</t>
  </si>
  <si>
    <r>
      <rPr>
        <sz val="9"/>
        <rFont val="Noto Sans CJK SC"/>
        <family val="2"/>
      </rPr>
      <t xml:space="preserve">← 예시 행입니다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지우고 쓰세요</t>
    </r>
  </si>
  <si>
    <t xml:space="preserve">합계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</si>
  <si>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</si>
  <si>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</si>
  <si>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</si>
  <si>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</si>
  <si>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</si>
  <si>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</si>
  <si>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r>
      <rPr>
        <sz val="10"/>
        <rFont val="Noto Sans CJK SC"/>
        <family val="2"/>
      </rPr>
      <t xml:space="preserve">렌트롤 월세 합계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정본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</si>
  <si>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표지 요약과 다르면 발행 차단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이 표가 정본입니다</t>
    </r>
    <r>
      <rPr>
        <sz val="9"/>
        <color rgb="FF555555"/>
        <rFont val="Arial"/>
        <family val="0"/>
        <charset val="1"/>
      </rPr>
      <t xml:space="preserve">.</t>
    </r>
  </si>
  <si>
    <t xml:space="preserve">C19</t>
  </si>
  <si>
    <t xml:space="preserve">임대면적 합계</t>
  </si>
  <si>
    <r>
      <rPr>
        <sz val="9"/>
        <color rgb="FF555555"/>
        <rFont val="Noto Sans CJK SC"/>
        <family val="2"/>
      </rPr>
      <t xml:space="preserve">건축물대장 연면적과 대조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불일치 시 원인 규명 전까지 발행 보류</t>
    </r>
    <r>
      <rPr>
        <sz val="9"/>
        <color rgb="FF555555"/>
        <rFont val="Arial"/>
        <family val="0"/>
        <charset val="1"/>
      </rPr>
      <t xml:space="preserve">.</t>
    </r>
  </si>
  <si>
    <t xml:space="preserve">F11</t>
  </si>
  <si>
    <t xml:space="preserve">만료 계약 수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</si>
  <si>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건 이상이면 호실별 경고</t>
    </r>
    <r>
      <rPr>
        <sz val="9"/>
        <color rgb="FF555555"/>
        <rFont val="Arial"/>
        <family val="0"/>
        <charset val="1"/>
      </rPr>
      <t xml:space="preserve">.</t>
    </r>
  </si>
  <si>
    <t xml:space="preserve">F12</t>
  </si>
  <si>
    <r>
      <rPr>
        <sz val="10"/>
        <rFont val="Noto Sans CJK SC"/>
        <family val="2"/>
      </rPr>
      <t xml:space="preserve">만료 비율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초과</t>
    </r>
  </si>
  <si>
    <r>
      <rPr>
        <sz val="9"/>
        <color rgb="FF555555"/>
        <rFont val="Noto Sans CJK SC"/>
        <family val="2"/>
      </rPr>
      <t xml:space="preserve">절반 초과 시 렌트롤 갱신 전까지 발행 불가</t>
    </r>
    <r>
      <rPr>
        <sz val="9"/>
        <color rgb="FF555555"/>
        <rFont val="Arial"/>
        <family val="0"/>
        <charset val="1"/>
      </rPr>
      <t xml:space="preserve">.</t>
    </r>
  </si>
  <si>
    <t xml:space="preserve">F13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</si>
  <si>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내 만료 임박</t>
    </r>
  </si>
  <si>
    <r>
      <rPr>
        <sz val="9"/>
        <color rgb="FF555555"/>
        <rFont val="Noto Sans CJK SC"/>
        <family val="2"/>
      </rPr>
      <t xml:space="preserve">재계약 조건이 딜 구조를 바꿉니다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협의 상태 확인 필요</t>
    </r>
    <r>
      <rPr>
        <sz val="9"/>
        <color rgb="FF555555"/>
        <rFont val="Arial"/>
        <family val="0"/>
        <charset val="1"/>
      </rPr>
      <t xml:space="preserve">.</t>
    </r>
  </si>
  <si>
    <t xml:space="preserve">G18</t>
  </si>
  <si>
    <t xml:space="preserve">갱신권 판정 보류</t>
  </si>
  <si>
    <r>
      <rPr>
        <sz val="9"/>
        <color rgb="FF555555"/>
        <rFont val="Noto Sans CJK SC"/>
        <family val="2"/>
      </rPr>
      <t xml:space="preserve">최초계약일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상가</t>
    </r>
    <r>
      <rPr>
        <sz val="9"/>
        <color rgb="FF555555"/>
        <rFont val="Arial"/>
        <family val="0"/>
        <charset val="1"/>
      </rPr>
      <t xml:space="preserve">)·</t>
    </r>
    <r>
      <rPr>
        <sz val="9"/>
        <color rgb="FF555555"/>
        <rFont val="Noto Sans CJK SC"/>
        <family val="2"/>
      </rPr>
      <t xml:space="preserve">행사이력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주택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누락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숫자 대신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확인 필요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출력</t>
    </r>
    <r>
      <rPr>
        <sz val="9"/>
        <color rgb="FF555555"/>
        <rFont val="Arial"/>
        <family val="0"/>
        <charset val="1"/>
      </rPr>
      <t xml:space="preserve">.</t>
    </r>
  </si>
  <si>
    <t xml:space="preserve">G13</t>
  </si>
  <si>
    <t xml:space="preserve">대항력 미확인</t>
  </si>
  <si>
    <r>
      <rPr>
        <sz val="9"/>
        <color rgb="FF555555"/>
        <rFont val="Noto Sans CJK SC"/>
        <family val="2"/>
      </rPr>
      <t xml:space="preserve">근거 없이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없음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표기 시 발행 차단</t>
    </r>
    <r>
      <rPr>
        <sz val="9"/>
        <color rgb="FF555555"/>
        <rFont val="Arial"/>
        <family val="0"/>
        <charset val="1"/>
      </rPr>
      <t xml:space="preserve">.</t>
    </r>
  </si>
  <si>
    <t xml:space="preserve">G17</t>
  </si>
  <si>
    <t xml:space="preserve">업종 미기재</t>
  </si>
  <si>
    <r>
      <rPr>
        <sz val="9"/>
        <color rgb="FF555555"/>
        <rFont val="Noto Sans CJK SC"/>
        <family val="2"/>
      </rPr>
      <t xml:space="preserve">비면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미상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으로 출력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추론 금지</t>
    </r>
    <r>
      <rPr>
        <sz val="9"/>
        <color rgb="FF555555"/>
        <rFont val="Arial"/>
        <family val="0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</si>
  <si>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</si>
  <si>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</si>
  <si>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color rgb="FF555555"/>
        <rFont val="Noto Sans CJK SC"/>
        <family val="2"/>
      </rPr>
      <t xml:space="preserve">초과 시 </t>
    </r>
    <r>
      <rPr>
        <sz val="9"/>
        <color rgb="FF555555"/>
        <rFont val="Arial"/>
        <family val="0"/>
        <charset val="1"/>
      </rPr>
      <t xml:space="preserve">5% </t>
    </r>
    <r>
      <rPr>
        <sz val="9"/>
        <color rgb="FF555555"/>
        <rFont val="Noto Sans CJK SC"/>
        <family val="2"/>
      </rPr>
      <t xml:space="preserve">인상상한</t>
    </r>
    <r>
      <rPr>
        <sz val="9"/>
        <color rgb="FF555555"/>
        <rFont val="Arial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우선변제권 미적용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갱신요구권은 적용됨</t>
    </r>
    <r>
      <rPr>
        <sz val="9"/>
        <color rgb="FF555555"/>
        <rFont val="Arial"/>
        <family val="0"/>
        <charset val="1"/>
      </rPr>
      <t xml:space="preserve">.</t>
    </r>
  </si>
  <si>
    <t xml:space="preserve">F01</t>
  </si>
  <si>
    <r>
      <rPr>
        <sz val="9"/>
        <color rgb="FF555555"/>
        <rFont val="Noto Sans CJK SC"/>
        <family val="2"/>
      </rPr>
      <t xml:space="preserve">없으면 신선도 판정 불가</t>
    </r>
    <r>
      <rPr>
        <sz val="9"/>
        <color rgb="FF555555"/>
        <rFont val="Arial"/>
        <family val="0"/>
        <charset val="1"/>
      </rPr>
      <t xml:space="preserve">.</t>
    </r>
  </si>
  <si>
    <t xml:space="preserve">C21</t>
  </si>
  <si>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</si>
  <si>
    <r>
      <rPr>
        <sz val="9"/>
        <color rgb="FF555555"/>
        <rFont val="Noto Sans CJK SC"/>
        <family val="2"/>
      </rPr>
      <t xml:space="preserve">자가사용은 임대 전환 여력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공실 손실과 구분합니다</t>
    </r>
    <r>
      <rPr>
        <sz val="9"/>
        <color rgb="FF555555"/>
        <rFont val="Arial"/>
        <family val="0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</si>
  <si>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</si>
  <si>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</si>
  <si>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</si>
  <si>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</si>
  <si>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</si>
  <si>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최소형</t>
    </r>
  </si>
  <si>
    <r>
      <rPr>
        <sz val="9"/>
        <rFont val="Noto Sans CJK SC"/>
        <family val="2"/>
      </rPr>
      <t xml:space="preserve">호실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업종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금액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만료일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임대상태</t>
    </r>
  </si>
  <si>
    <r>
      <rPr>
        <sz val="9"/>
        <color rgb="FF555555"/>
        <rFont val="Noto Sans CJK SC"/>
        <family val="2"/>
      </rPr>
      <t xml:space="preserve">렌트롤 표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만료 타임라인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총액 수익률</t>
    </r>
  </si>
  <si>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필요형</t>
    </r>
  </si>
  <si>
    <r>
      <rPr>
        <sz val="9"/>
        <rFont val="Arial"/>
        <family val="0"/>
        <charset val="1"/>
      </rPr>
      <t xml:space="preserve">R1 + </t>
    </r>
    <r>
      <rPr>
        <sz val="9"/>
        <rFont val="Noto Sans CJK SC"/>
        <family val="2"/>
      </rPr>
      <t xml:space="preserve">면적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적용법령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관리비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시작일</t>
    </r>
  </si>
  <si>
    <r>
      <rPr>
        <sz val="9"/>
        <color rgb="FF555555"/>
        <rFont val="Noto Sans CJK SC"/>
        <family val="2"/>
      </rPr>
      <t xml:space="preserve">평당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층별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환산보증금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상임법 판정</t>
    </r>
  </si>
  <si>
    <r>
      <rPr>
        <b val="true"/>
        <sz val="10"/>
        <rFont val="Arial"/>
        <family val="0"/>
        <charset val="1"/>
      </rPr>
      <t xml:space="preserve">R3 </t>
    </r>
    <r>
      <rPr>
        <b val="true"/>
        <sz val="10"/>
        <rFont val="Noto Sans CJK SC"/>
        <family val="2"/>
      </rPr>
      <t xml:space="preserve">표준형</t>
    </r>
  </si>
  <si>
    <r>
      <rPr>
        <sz val="9"/>
        <rFont val="Arial"/>
        <family val="0"/>
        <charset val="1"/>
      </rPr>
      <t xml:space="preserve">R2 + </t>
    </r>
    <r>
      <rPr>
        <sz val="9"/>
        <rFont val="Noto Sans CJK SC"/>
        <family val="2"/>
      </rPr>
      <t xml:space="preserve">최초계약일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대항력</t>
    </r>
  </si>
  <si>
    <r>
      <rPr>
        <sz val="9"/>
        <color rgb="FF555555"/>
        <rFont val="Noto Sans CJK SC"/>
        <family val="2"/>
      </rPr>
      <t xml:space="preserve">갱신요구권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명도 계획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임대료 정상화 시뮬</t>
    </r>
  </si>
  <si>
    <t xml:space="preserve">현재 해상도</t>
  </si>
  <si>
    <t xml:space="preserve">다음 한 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</si>
</sst>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.00"/>
    <numFmt numFmtId="168" formatCode="#,##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8"/>
      <color rgb="FF555555"/>
      <name val="Noto Sans CJK SC"/>
      <family val="2"/>
    </font>
    <font>
      <b val="true"/>
      <sz val="8"/>
      <color rgb="FF555555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name val="Noto Sans CJK SC"/>
      <family val="2"/>
    </font>
    <font>
      <sz val="10"/>
      <color rgb="FFC00000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0E0"/>
        <bgColor rgb="FFFCE4EC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9E2F3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FE0E0"/>
      </patternFill>
    </fill>
    <fill>
      <patternFill patternType="solid">
        <fgColor rgb="FFF2F2F2"/>
        <bgColor rgb="FFE8E8E8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CE4EC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21.6" hidden="false" customHeight="fals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3"/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1" customFormat="false" ht="15" hidden="false" customHeight="false" outlineLevel="0" collapsed="false">
      <c r="B11" s="3" t="s">
        <v>9</v>
      </c>
      <c r="C11" s="3"/>
    </row>
    <row r="12" customFormat="false" ht="30" hidden="false" customHeight="true" outlineLevel="0" collapsed="false">
      <c r="B12" s="4" t="s">
        <v>10</v>
      </c>
      <c r="C12" s="5" t="s">
        <v>11</v>
      </c>
    </row>
    <row r="13" customFormat="false" ht="30" hidden="false" customHeight="true" outlineLevel="0" collapsed="false">
      <c r="B13" s="4" t="s">
        <v>12</v>
      </c>
      <c r="C13" s="5" t="s">
        <v>13</v>
      </c>
    </row>
    <row r="14" customFormat="false" ht="30" hidden="false" customHeight="true" outlineLevel="0" collapsed="false">
      <c r="B14" s="4" t="s">
        <v>14</v>
      </c>
      <c r="C14" s="5" t="s">
        <v>15</v>
      </c>
    </row>
    <row r="15" customFormat="false" ht="30" hidden="false" customHeight="true" outlineLevel="0" collapsed="false">
      <c r="B15" s="4" t="s">
        <v>16</v>
      </c>
      <c r="C15" s="5" t="s">
        <v>17</v>
      </c>
    </row>
    <row r="16" customFormat="false" ht="30" hidden="false" customHeight="true" outlineLevel="0" collapsed="false">
      <c r="B16" s="4" t="s">
        <v>18</v>
      </c>
      <c r="C16" s="5" t="s">
        <v>19</v>
      </c>
    </row>
    <row r="17" customFormat="false" ht="30" hidden="false" customHeight="true" outlineLevel="0" collapsed="false">
      <c r="B17" s="4" t="s">
        <v>20</v>
      </c>
      <c r="C17" s="5" t="s">
        <v>21</v>
      </c>
    </row>
    <row r="19" customFormat="false" ht="15" hidden="false" customHeight="false" outlineLevel="0" collapsed="false">
      <c r="B19" s="3" t="s">
        <v>22</v>
      </c>
      <c r="C19" s="3"/>
    </row>
    <row r="20" customFormat="false" ht="30" hidden="false" customHeight="true" outlineLevel="0" collapsed="false">
      <c r="B20" s="6" t="s">
        <v>23</v>
      </c>
      <c r="C20" s="7" t="s">
        <v>24</v>
      </c>
    </row>
    <row r="21" customFormat="false" ht="30" hidden="false" customHeight="true" outlineLevel="0" collapsed="false">
      <c r="B21" s="6" t="s">
        <v>25</v>
      </c>
      <c r="C21" s="7" t="s">
        <v>26</v>
      </c>
    </row>
    <row r="22" customFormat="false" ht="30" hidden="false" customHeight="true" outlineLevel="0" collapsed="false">
      <c r="B22" s="6" t="s">
        <v>27</v>
      </c>
      <c r="C22" s="7" t="s">
        <v>28</v>
      </c>
    </row>
    <row r="24" customFormat="false" ht="15" hidden="false" customHeight="false" outlineLevel="0" collapsed="false">
      <c r="B24" s="3" t="s">
        <v>29</v>
      </c>
      <c r="C24" s="3"/>
    </row>
    <row r="25" customFormat="false" ht="30" hidden="false" customHeight="true" outlineLevel="0" collapsed="false">
      <c r="B25" s="4" t="s">
        <v>30</v>
      </c>
      <c r="C25" s="5" t="s">
        <v>31</v>
      </c>
    </row>
    <row r="26" customFormat="false" ht="30" hidden="false" customHeight="true" outlineLevel="0" collapsed="false">
      <c r="B26" s="4" t="s">
        <v>32</v>
      </c>
      <c r="C26" s="5" t="s">
        <v>33</v>
      </c>
    </row>
    <row r="27" customFormat="false" ht="30" hidden="false" customHeight="true" outlineLevel="0" collapsed="false">
      <c r="B27" s="4" t="s">
        <v>34</v>
      </c>
      <c r="C27" s="5" t="s">
        <v>35</v>
      </c>
    </row>
    <row r="29" customFormat="false" ht="15" hidden="false" customHeight="false" outlineLevel="0" collapsed="false">
      <c r="B29" s="3" t="s">
        <v>36</v>
      </c>
      <c r="C29" s="3"/>
    </row>
    <row r="30" customFormat="false" ht="30" hidden="false" customHeight="true" outlineLevel="0" collapsed="false">
      <c r="B30" s="4" t="s">
        <v>37</v>
      </c>
      <c r="C30" s="5" t="s">
        <v>38</v>
      </c>
    </row>
    <row r="31" customFormat="false" ht="30" hidden="false" customHeight="true" outlineLevel="0" collapsed="false">
      <c r="B31" s="4" t="s">
        <v>39</v>
      </c>
      <c r="C31" s="5" t="s">
        <v>40</v>
      </c>
    </row>
    <row r="32" customFormat="false" ht="30" hidden="false" customHeight="true" outlineLevel="0" collapsed="false">
      <c r="B32" s="4" t="s">
        <v>41</v>
      </c>
      <c r="C32" s="5" t="s">
        <v>42</v>
      </c>
    </row>
    <row r="33" customFormat="false" ht="30" hidden="false" customHeight="true" outlineLevel="0" collapsed="false">
      <c r="B33" s="4" t="s">
        <v>43</v>
      </c>
      <c r="C33" s="5" t="s">
        <v>44</v>
      </c>
    </row>
    <row r="34" customFormat="false" ht="30" hidden="false" customHeight="true" outlineLevel="0" collapsed="false">
      <c r="B34" s="4" t="s">
        <v>45</v>
      </c>
      <c r="C34" s="5" t="s">
        <v>46</v>
      </c>
    </row>
    <row r="36" customFormat="false" ht="15" hidden="false" customHeight="false" outlineLevel="0" collapsed="false">
      <c r="B36" s="3" t="s">
        <v>47</v>
      </c>
      <c r="C36" s="3"/>
    </row>
    <row r="37" customFormat="false" ht="30" hidden="false" customHeight="true" outlineLevel="0" collapsed="false">
      <c r="B37" s="4" t="s">
        <v>48</v>
      </c>
      <c r="C37" s="5" t="s">
        <v>49</v>
      </c>
    </row>
    <row r="38" customFormat="false" ht="30" hidden="false" customHeight="true" outlineLevel="0" collapsed="false">
      <c r="B38" s="4" t="s">
        <v>34</v>
      </c>
      <c r="C38" s="5" t="s">
        <v>50</v>
      </c>
    </row>
    <row r="39" customFormat="false" ht="30" hidden="false" customHeight="true" outlineLevel="0" collapsed="false">
      <c r="B39" s="4" t="s">
        <v>51</v>
      </c>
      <c r="C39" s="5" t="s">
        <v>52</v>
      </c>
    </row>
    <row r="40" customFormat="false" ht="30" hidden="false" customHeight="true" outlineLevel="0" collapsed="false">
      <c r="B40" s="4" t="s">
        <v>53</v>
      </c>
      <c r="C40" s="5" t="s">
        <v>54</v>
      </c>
    </row>
    <row r="41" customFormat="false" ht="30" hidden="false" customHeight="true" outlineLevel="0" collapsed="false">
      <c r="B41" s="4" t="s">
        <v>55</v>
      </c>
      <c r="C41" s="5" t="s">
        <v>56</v>
      </c>
    </row>
    <row r="42" customFormat="false" ht="30" hidden="false" customHeight="true" outlineLevel="0" collapsed="false">
      <c r="B42" s="4" t="s">
        <v>57</v>
      </c>
      <c r="C42" s="5" t="s">
        <v>58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23.1" hidden="false" customHeight="false" outlineLevel="0" collapsed="false">
      <c r="A1" s="8" t="s">
        <v>59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60</v>
      </c>
      <c r="B3" s="9"/>
      <c r="C3" s="10"/>
      <c r="D3" s="10"/>
      <c r="E3" s="10"/>
      <c r="F3" s="11" t="s">
        <v>61</v>
      </c>
    </row>
    <row r="4" customFormat="false" ht="15" hidden="false" customHeight="false" outlineLevel="0" collapsed="false">
      <c r="A4" s="9" t="s">
        <v>62</v>
      </c>
      <c r="B4" s="9"/>
      <c r="C4" s="10"/>
      <c r="D4" s="10"/>
      <c r="E4" s="10"/>
      <c r="F4" s="12" t="s">
        <v>63</v>
      </c>
    </row>
    <row r="5" customFormat="false" ht="15" hidden="false" customHeight="false" outlineLevel="0" collapsed="false">
      <c r="A5" s="9" t="s">
        <v>64</v>
      </c>
      <c r="B5" s="9"/>
      <c r="C5" s="13"/>
      <c r="D5" s="13"/>
      <c r="E5" s="13"/>
    </row>
    <row r="6" customFormat="false" ht="15" hidden="false" customHeight="false" outlineLevel="0" collapsed="false">
      <c r="A6" s="9" t="s">
        <v>65</v>
      </c>
      <c r="B6" s="9"/>
      <c r="C6" s="13" t="n">
        <v>46257</v>
      </c>
      <c r="D6" s="13"/>
      <c r="E6" s="13"/>
    </row>
    <row r="7" customFormat="false" ht="15" hidden="false" customHeight="false" outlineLevel="0" collapsed="false">
      <c r="A7" s="9" t="s">
        <v>66</v>
      </c>
      <c r="B7" s="9"/>
      <c r="C7" s="14" t="n">
        <v>900000000</v>
      </c>
      <c r="D7" s="14"/>
      <c r="E7" s="14"/>
    </row>
    <row r="8" customFormat="false" ht="15" hidden="false" customHeight="false" outlineLevel="0" collapsed="false">
      <c r="A8" s="9" t="s">
        <v>67</v>
      </c>
      <c r="B8" s="9"/>
      <c r="C8" s="10"/>
      <c r="D8" s="10"/>
      <c r="E8" s="10"/>
    </row>
    <row r="9" customFormat="false" ht="15" hidden="false" customHeight="false" outlineLevel="0" collapsed="false">
      <c r="A9" s="9" t="s">
        <v>68</v>
      </c>
      <c r="B9" s="9"/>
      <c r="C9" s="13"/>
      <c r="D9" s="13"/>
      <c r="E9" s="13"/>
    </row>
    <row r="11" customFormat="false" ht="13.5" hidden="false" customHeight="true" outlineLevel="0" collapsed="false">
      <c r="A11" s="15" t="s">
        <v>69</v>
      </c>
      <c r="B11" s="16" t="s">
        <v>70</v>
      </c>
      <c r="C11" s="16" t="s">
        <v>70</v>
      </c>
      <c r="D11" s="17" t="s">
        <v>71</v>
      </c>
      <c r="E11" s="16" t="s">
        <v>70</v>
      </c>
      <c r="F11" s="17" t="s">
        <v>71</v>
      </c>
      <c r="G11" s="17" t="s">
        <v>71</v>
      </c>
      <c r="H11" s="16" t="s">
        <v>70</v>
      </c>
      <c r="I11" s="18" t="s">
        <v>72</v>
      </c>
      <c r="J11" s="16" t="s">
        <v>70</v>
      </c>
      <c r="K11" s="17" t="s">
        <v>71</v>
      </c>
      <c r="L11" s="18" t="s">
        <v>72</v>
      </c>
      <c r="M11" s="18" t="s">
        <v>72</v>
      </c>
      <c r="N11" s="17" t="s">
        <v>71</v>
      </c>
      <c r="O11" s="19" t="s">
        <v>73</v>
      </c>
      <c r="P11" s="20"/>
      <c r="Q11" s="20"/>
      <c r="R11" s="20"/>
      <c r="S11" s="20"/>
      <c r="T11" s="20"/>
      <c r="U11" s="20"/>
    </row>
    <row r="12" customFormat="false" ht="31.5" hidden="false" customHeight="true" outlineLevel="0" collapsed="false">
      <c r="A12" s="21" t="s">
        <v>74</v>
      </c>
      <c r="B12" s="21" t="s">
        <v>75</v>
      </c>
      <c r="C12" s="21" t="s">
        <v>76</v>
      </c>
      <c r="D12" s="21" t="s">
        <v>77</v>
      </c>
      <c r="E12" s="21" t="s">
        <v>14</v>
      </c>
      <c r="F12" s="21" t="s">
        <v>78</v>
      </c>
      <c r="G12" s="21" t="s">
        <v>79</v>
      </c>
      <c r="H12" s="21" t="s">
        <v>80</v>
      </c>
      <c r="I12" s="21" t="s">
        <v>23</v>
      </c>
      <c r="J12" s="21" t="s">
        <v>81</v>
      </c>
      <c r="K12" s="21" t="s">
        <v>20</v>
      </c>
      <c r="L12" s="21" t="s">
        <v>25</v>
      </c>
      <c r="M12" s="21" t="s">
        <v>27</v>
      </c>
      <c r="N12" s="21" t="s">
        <v>16</v>
      </c>
      <c r="O12" s="21" t="s">
        <v>82</v>
      </c>
      <c r="P12" s="21" t="s">
        <v>83</v>
      </c>
      <c r="Q12" s="21" t="s">
        <v>84</v>
      </c>
      <c r="R12" s="21" t="s">
        <v>51</v>
      </c>
      <c r="S12" s="21" t="s">
        <v>85</v>
      </c>
      <c r="T12" s="21" t="s">
        <v>86</v>
      </c>
      <c r="U12" s="21" t="s">
        <v>87</v>
      </c>
    </row>
    <row r="13" customFormat="false" ht="18" hidden="false" customHeight="true" outlineLevel="0" collapsed="false">
      <c r="A13" s="22" t="s">
        <v>88</v>
      </c>
      <c r="B13" s="22"/>
      <c r="C13" s="23" t="n">
        <v>132.5</v>
      </c>
      <c r="D13" s="24" t="s">
        <v>89</v>
      </c>
      <c r="E13" s="24" t="s">
        <v>90</v>
      </c>
      <c r="F13" s="25" t="n">
        <v>50000000</v>
      </c>
      <c r="G13" s="25" t="n">
        <v>4500000</v>
      </c>
      <c r="H13" s="25" t="n">
        <v>550000</v>
      </c>
      <c r="I13" s="26" t="n">
        <v>43556</v>
      </c>
      <c r="J13" s="26" t="n">
        <v>45748</v>
      </c>
      <c r="K13" s="26" t="n">
        <v>46477</v>
      </c>
      <c r="L13" s="24" t="s">
        <v>91</v>
      </c>
      <c r="M13" s="24" t="s">
        <v>92</v>
      </c>
      <c r="N13" s="24" t="s">
        <v>93</v>
      </c>
      <c r="O13" s="24" t="s">
        <v>94</v>
      </c>
      <c r="P13" s="27" t="n">
        <f aca="false">IF(C13="","",C13/3.305785)</f>
        <v>40.0812515030469</v>
      </c>
      <c r="Q13" s="28" t="n">
        <f aca="false">IF(OR(N13&lt;&gt;"임대중",E13&lt;&gt;"상가",F13=""),"",F13+G13*100)</f>
        <v>500000000</v>
      </c>
      <c r="R13" s="29" t="str">
        <f aca="false">IF(Q13="","",IF(Q13&lt;=$C$7,"○ 전면적용","× 초과 (5%상한 미적용)"))</f>
        <v>○ 전면적용</v>
      </c>
      <c r="S13" s="29" t="str">
        <f aca="false">IF(N13&lt;&gt;"임대중","",IF(E13="상가",IF(I13="","확인 필요",TEXT(MAX(0,10-($C$6-I13)/365.25),"0.0")&amp;"년"),IF(E13="주택",IF(L13="있음","소진(1회)",IF(L13="없음",IF(K13="","확인 필요",TEXT(EDATE(K13,24),"yyyy-mm")&amp;"까지"),"확인 필요")),"확인 필요")))</f>
        <v>2.6년</v>
      </c>
      <c r="T13" s="29" t="str">
        <f aca="false">IF(N13="공실","공실",IF(N13="자가사용","자가사용",IF(K13="","만료일 없음",IF(K13&lt;$C$6,"만료 +"&amp;TEXT($C$6-K13,"0")&amp;"일",IF(K13-$C$6&lt;=30,"임박 "&amp;TEXT(K13-$C$6,"0")&amp;"일","유효")))))</f>
        <v>유효</v>
      </c>
      <c r="U13" s="28" t="n">
        <f aca="false">IF(N13&lt;&gt;"임대중",0,IF(G13="",0,G13)+IF(H13="",0,H13))</f>
        <v>5050000</v>
      </c>
    </row>
    <row r="14" customFormat="false" ht="18" hidden="false" customHeight="true" outlineLevel="0" collapsed="false">
      <c r="A14" s="22"/>
      <c r="B14" s="22"/>
      <c r="C14" s="23"/>
      <c r="D14" s="22"/>
      <c r="E14" s="24"/>
      <c r="F14" s="25"/>
      <c r="G14" s="25"/>
      <c r="H14" s="25"/>
      <c r="I14" s="26"/>
      <c r="J14" s="26"/>
      <c r="K14" s="26"/>
      <c r="L14" s="24"/>
      <c r="M14" s="24"/>
      <c r="N14" s="24"/>
      <c r="O14" s="22"/>
      <c r="P14" s="27" t="str">
        <f aca="false">IF(C14="","",C14/3.305785)</f>
        <v/>
      </c>
      <c r="Q14" s="28" t="str">
        <f aca="false">IF(OR(N14&lt;&gt;"임대중",E14&lt;&gt;"상가",F14=""),"",F14+G14*100)</f>
        <v/>
      </c>
      <c r="R14" s="29" t="str">
        <f aca="false">IF(Q14="","",IF(Q14&lt;=$C$7,"○ 전면적용","× 초과 (5%상한 미적용)"))</f>
        <v/>
      </c>
      <c r="S14" s="29" t="str">
        <f aca="false">IF(N14&lt;&gt;"임대중","",IF(E14="상가",IF(I14="","확인 필요",TEXT(MAX(0,10-($C$6-I14)/365.25),"0.0")&amp;"년"),IF(E14="주택",IF(L14="있음","소진(1회)",IF(L14="없음",IF(K14="","확인 필요",TEXT(EDATE(K14,24),"yyyy-mm")&amp;"까지"),"확인 필요")),"확인 필요")))</f>
        <v/>
      </c>
      <c r="T14" s="29" t="str">
        <f aca="false">IF(N14="공실","공실",IF(N14="자가사용","자가사용",IF(K14="","만료일 없음",IF(K14&lt;$C$6,"만료 +"&amp;TEXT($C$6-K14,"0")&amp;"일",IF(K14-$C$6&lt;=30,"임박 "&amp;TEXT(K14-$C$6,"0")&amp;"일","유효")))))</f>
        <v>만료일 없음</v>
      </c>
      <c r="U14" s="28" t="n">
        <f aca="false">IF(N14&lt;&gt;"임대중",0,IF(G14="",0,G14)+IF(H14="",0,H14))</f>
        <v>0</v>
      </c>
    </row>
    <row r="15" customFormat="false" ht="18" hidden="false" customHeight="true" outlineLevel="0" collapsed="false">
      <c r="A15" s="22"/>
      <c r="B15" s="22"/>
      <c r="C15" s="23"/>
      <c r="D15" s="22"/>
      <c r="E15" s="24"/>
      <c r="F15" s="25"/>
      <c r="G15" s="25"/>
      <c r="H15" s="25"/>
      <c r="I15" s="26"/>
      <c r="J15" s="26"/>
      <c r="K15" s="26"/>
      <c r="L15" s="24"/>
      <c r="M15" s="24"/>
      <c r="N15" s="24"/>
      <c r="O15" s="22"/>
      <c r="P15" s="27" t="str">
        <f aca="false">IF(C15="","",C15/3.305785)</f>
        <v/>
      </c>
      <c r="Q15" s="28" t="str">
        <f aca="false">IF(OR(N15&lt;&gt;"임대중",E15&lt;&gt;"상가",F15=""),"",F15+G15*100)</f>
        <v/>
      </c>
      <c r="R15" s="29" t="str">
        <f aca="false">IF(Q15="","",IF(Q15&lt;=$C$7,"○ 전면적용","× 초과 (5%상한 미적용)"))</f>
        <v/>
      </c>
      <c r="S15" s="29" t="str">
        <f aca="false">IF(N15&lt;&gt;"임대중","",IF(E15="상가",IF(I15="","확인 필요",TEXT(MAX(0,10-($C$6-I15)/365.25),"0.0")&amp;"년"),IF(E15="주택",IF(L15="있음","소진(1회)",IF(L15="없음",IF(K15="","확인 필요",TEXT(EDATE(K15,24),"yyyy-mm")&amp;"까지"),"확인 필요")),"확인 필요")))</f>
        <v/>
      </c>
      <c r="T15" s="29" t="str">
        <f aca="false">IF(N15="공실","공실",IF(N15="자가사용","자가사용",IF(K15="","만료일 없음",IF(K15&lt;$C$6,"만료 +"&amp;TEXT($C$6-K15,"0")&amp;"일",IF(K15-$C$6&lt;=30,"임박 "&amp;TEXT(K15-$C$6,"0")&amp;"일","유효")))))</f>
        <v>만료일 없음</v>
      </c>
      <c r="U15" s="28" t="n">
        <f aca="false">IF(N15&lt;&gt;"임대중",0,IF(G15="",0,G15)+IF(H15="",0,H15))</f>
        <v>0</v>
      </c>
    </row>
    <row r="16" customFormat="false" ht="18" hidden="false" customHeight="true" outlineLevel="0" collapsed="false">
      <c r="A16" s="22"/>
      <c r="B16" s="22"/>
      <c r="C16" s="23"/>
      <c r="D16" s="22"/>
      <c r="E16" s="24"/>
      <c r="F16" s="25"/>
      <c r="G16" s="25"/>
      <c r="H16" s="25"/>
      <c r="I16" s="26"/>
      <c r="J16" s="26"/>
      <c r="K16" s="26"/>
      <c r="L16" s="24"/>
      <c r="M16" s="24"/>
      <c r="N16" s="24"/>
      <c r="O16" s="22"/>
      <c r="P16" s="27" t="str">
        <f aca="false">IF(C16="","",C16/3.305785)</f>
        <v/>
      </c>
      <c r="Q16" s="28" t="str">
        <f aca="false">IF(OR(N16&lt;&gt;"임대중",E16&lt;&gt;"상가",F16=""),"",F16+G16*100)</f>
        <v/>
      </c>
      <c r="R16" s="29" t="str">
        <f aca="false">IF(Q16="","",IF(Q16&lt;=$C$7,"○ 전면적용","× 초과 (5%상한 미적용)"))</f>
        <v/>
      </c>
      <c r="S16" s="29" t="str">
        <f aca="false">IF(N16&lt;&gt;"임대중","",IF(E16="상가",IF(I16="","확인 필요",TEXT(MAX(0,10-($C$6-I16)/365.25),"0.0")&amp;"년"),IF(E16="주택",IF(L16="있음","소진(1회)",IF(L16="없음",IF(K16="","확인 필요",TEXT(EDATE(K16,24),"yyyy-mm")&amp;"까지"),"확인 필요")),"확인 필요")))</f>
        <v/>
      </c>
      <c r="T16" s="29" t="str">
        <f aca="false">IF(N16="공실","공실",IF(N16="자가사용","자가사용",IF(K16="","만료일 없음",IF(K16&lt;$C$6,"만료 +"&amp;TEXT($C$6-K16,"0")&amp;"일",IF(K16-$C$6&lt;=30,"임박 "&amp;TEXT(K16-$C$6,"0")&amp;"일","유효")))))</f>
        <v>만료일 없음</v>
      </c>
      <c r="U16" s="28" t="n">
        <f aca="false">IF(N16&lt;&gt;"임대중",0,IF(G16="",0,G16)+IF(H16="",0,H16))</f>
        <v>0</v>
      </c>
    </row>
    <row r="17" customFormat="false" ht="18" hidden="false" customHeight="true" outlineLevel="0" collapsed="false">
      <c r="A17" s="22"/>
      <c r="B17" s="22"/>
      <c r="C17" s="23"/>
      <c r="D17" s="22"/>
      <c r="E17" s="24"/>
      <c r="F17" s="25"/>
      <c r="G17" s="25"/>
      <c r="H17" s="25"/>
      <c r="I17" s="26"/>
      <c r="J17" s="26"/>
      <c r="K17" s="26"/>
      <c r="L17" s="24"/>
      <c r="M17" s="24"/>
      <c r="N17" s="24"/>
      <c r="O17" s="22"/>
      <c r="P17" s="27" t="str">
        <f aca="false">IF(C17="","",C17/3.305785)</f>
        <v/>
      </c>
      <c r="Q17" s="28" t="str">
        <f aca="false">IF(OR(N17&lt;&gt;"임대중",E17&lt;&gt;"상가",F17=""),"",F17+G17*100)</f>
        <v/>
      </c>
      <c r="R17" s="29" t="str">
        <f aca="false">IF(Q17="","",IF(Q17&lt;=$C$7,"○ 전면적용","× 초과 (5%상한 미적용)"))</f>
        <v/>
      </c>
      <c r="S17" s="29" t="str">
        <f aca="false">IF(N17&lt;&gt;"임대중","",IF(E17="상가",IF(I17="","확인 필요",TEXT(MAX(0,10-($C$6-I17)/365.25),"0.0")&amp;"년"),IF(E17="주택",IF(L17="있음","소진(1회)",IF(L17="없음",IF(K17="","확인 필요",TEXT(EDATE(K17,24),"yyyy-mm")&amp;"까지"),"확인 필요")),"확인 필요")))</f>
        <v/>
      </c>
      <c r="T17" s="29" t="str">
        <f aca="false">IF(N17="공실","공실",IF(N17="자가사용","자가사용",IF(K17="","만료일 없음",IF(K17&lt;$C$6,"만료 +"&amp;TEXT($C$6-K17,"0")&amp;"일",IF(K17-$C$6&lt;=30,"임박 "&amp;TEXT(K17-$C$6,"0")&amp;"일","유효")))))</f>
        <v>만료일 없음</v>
      </c>
      <c r="U17" s="28" t="n">
        <f aca="false">IF(N17&lt;&gt;"임대중",0,IF(G17="",0,G17)+IF(H17="",0,H17))</f>
        <v>0</v>
      </c>
    </row>
    <row r="18" customFormat="false" ht="18" hidden="false" customHeight="true" outlineLevel="0" collapsed="false">
      <c r="A18" s="22"/>
      <c r="B18" s="22"/>
      <c r="C18" s="23"/>
      <c r="D18" s="22"/>
      <c r="E18" s="24"/>
      <c r="F18" s="25"/>
      <c r="G18" s="25"/>
      <c r="H18" s="25"/>
      <c r="I18" s="26"/>
      <c r="J18" s="26"/>
      <c r="K18" s="26"/>
      <c r="L18" s="24"/>
      <c r="M18" s="24"/>
      <c r="N18" s="24"/>
      <c r="O18" s="22"/>
      <c r="P18" s="27" t="str">
        <f aca="false">IF(C18="","",C18/3.305785)</f>
        <v/>
      </c>
      <c r="Q18" s="28" t="str">
        <f aca="false">IF(OR(N18&lt;&gt;"임대중",E18&lt;&gt;"상가",F18=""),"",F18+G18*100)</f>
        <v/>
      </c>
      <c r="R18" s="29" t="str">
        <f aca="false">IF(Q18="","",IF(Q18&lt;=$C$7,"○ 전면적용","× 초과 (5%상한 미적용)"))</f>
        <v/>
      </c>
      <c r="S18" s="29" t="str">
        <f aca="false">IF(N18&lt;&gt;"임대중","",IF(E18="상가",IF(I18="","확인 필요",TEXT(MAX(0,10-($C$6-I18)/365.25),"0.0")&amp;"년"),IF(E18="주택",IF(L18="있음","소진(1회)",IF(L18="없음",IF(K18="","확인 필요",TEXT(EDATE(K18,24),"yyyy-mm")&amp;"까지"),"확인 필요")),"확인 필요")))</f>
        <v/>
      </c>
      <c r="T18" s="29" t="str">
        <f aca="false">IF(N18="공실","공실",IF(N18="자가사용","자가사용",IF(K18="","만료일 없음",IF(K18&lt;$C$6,"만료 +"&amp;TEXT($C$6-K18,"0")&amp;"일",IF(K18-$C$6&lt;=30,"임박 "&amp;TEXT(K18-$C$6,"0")&amp;"일","유효")))))</f>
        <v>만료일 없음</v>
      </c>
      <c r="U18" s="28" t="n">
        <f aca="false">IF(N18&lt;&gt;"임대중",0,IF(G18="",0,G18)+IF(H18="",0,H18))</f>
        <v>0</v>
      </c>
    </row>
    <row r="19" customFormat="false" ht="18" hidden="false" customHeight="true" outlineLevel="0" collapsed="false">
      <c r="A19" s="22"/>
      <c r="B19" s="22"/>
      <c r="C19" s="23"/>
      <c r="D19" s="22"/>
      <c r="E19" s="24"/>
      <c r="F19" s="25"/>
      <c r="G19" s="25"/>
      <c r="H19" s="25"/>
      <c r="I19" s="26"/>
      <c r="J19" s="26"/>
      <c r="K19" s="26"/>
      <c r="L19" s="24"/>
      <c r="M19" s="24"/>
      <c r="N19" s="24"/>
      <c r="O19" s="22"/>
      <c r="P19" s="27" t="str">
        <f aca="false">IF(C19="","",C19/3.305785)</f>
        <v/>
      </c>
      <c r="Q19" s="28" t="str">
        <f aca="false">IF(OR(N19&lt;&gt;"임대중",E19&lt;&gt;"상가",F19=""),"",F19+G19*100)</f>
        <v/>
      </c>
      <c r="R19" s="29" t="str">
        <f aca="false">IF(Q19="","",IF(Q19&lt;=$C$7,"○ 전면적용","× 초과 (5%상한 미적용)"))</f>
        <v/>
      </c>
      <c r="S19" s="29" t="str">
        <f aca="false">IF(N19&lt;&gt;"임대중","",IF(E19="상가",IF(I19="","확인 필요",TEXT(MAX(0,10-($C$6-I19)/365.25),"0.0")&amp;"년"),IF(E19="주택",IF(L19="있음","소진(1회)",IF(L19="없음",IF(K19="","확인 필요",TEXT(EDATE(K19,24),"yyyy-mm")&amp;"까지"),"확인 필요")),"확인 필요")))</f>
        <v/>
      </c>
      <c r="T19" s="29" t="str">
        <f aca="false">IF(N19="공실","공실",IF(N19="자가사용","자가사용",IF(K19="","만료일 없음",IF(K19&lt;$C$6,"만료 +"&amp;TEXT($C$6-K19,"0")&amp;"일",IF(K19-$C$6&lt;=30,"임박 "&amp;TEXT(K19-$C$6,"0")&amp;"일","유효")))))</f>
        <v>만료일 없음</v>
      </c>
      <c r="U19" s="28" t="n">
        <f aca="false">IF(N19&lt;&gt;"임대중",0,IF(G19="",0,G19)+IF(H19="",0,H19))</f>
        <v>0</v>
      </c>
    </row>
    <row r="20" customFormat="false" ht="18" hidden="false" customHeight="true" outlineLevel="0" collapsed="false">
      <c r="A20" s="22"/>
      <c r="B20" s="22"/>
      <c r="C20" s="23"/>
      <c r="D20" s="22"/>
      <c r="E20" s="24"/>
      <c r="F20" s="25"/>
      <c r="G20" s="25"/>
      <c r="H20" s="25"/>
      <c r="I20" s="26"/>
      <c r="J20" s="26"/>
      <c r="K20" s="26"/>
      <c r="L20" s="24"/>
      <c r="M20" s="24"/>
      <c r="N20" s="24"/>
      <c r="O20" s="22"/>
      <c r="P20" s="27" t="str">
        <f aca="false">IF(C20="","",C20/3.305785)</f>
        <v/>
      </c>
      <c r="Q20" s="28" t="str">
        <f aca="false">IF(OR(N20&lt;&gt;"임대중",E20&lt;&gt;"상가",F20=""),"",F20+G20*100)</f>
        <v/>
      </c>
      <c r="R20" s="29" t="str">
        <f aca="false">IF(Q20="","",IF(Q20&lt;=$C$7,"○ 전면적용","× 초과 (5%상한 미적용)"))</f>
        <v/>
      </c>
      <c r="S20" s="29" t="str">
        <f aca="false">IF(N20&lt;&gt;"임대중","",IF(E20="상가",IF(I20="","확인 필요",TEXT(MAX(0,10-($C$6-I20)/365.25),"0.0")&amp;"년"),IF(E20="주택",IF(L20="있음","소진(1회)",IF(L20="없음",IF(K20="","확인 필요",TEXT(EDATE(K20,24),"yyyy-mm")&amp;"까지"),"확인 필요")),"확인 필요")))</f>
        <v/>
      </c>
      <c r="T20" s="29" t="str">
        <f aca="false">IF(N20="공실","공실",IF(N20="자가사용","자가사용",IF(K20="","만료일 없음",IF(K20&lt;$C$6,"만료 +"&amp;TEXT($C$6-K20,"0")&amp;"일",IF(K20-$C$6&lt;=30,"임박 "&amp;TEXT(K20-$C$6,"0")&amp;"일","유효")))))</f>
        <v>만료일 없음</v>
      </c>
      <c r="U20" s="28" t="n">
        <f aca="false">IF(N20&lt;&gt;"임대중",0,IF(G20="",0,G20)+IF(H20="",0,H20))</f>
        <v>0</v>
      </c>
    </row>
    <row r="21" customFormat="false" ht="18" hidden="false" customHeight="true" outlineLevel="0" collapsed="false">
      <c r="A21" s="22"/>
      <c r="B21" s="22"/>
      <c r="C21" s="23"/>
      <c r="D21" s="22"/>
      <c r="E21" s="24"/>
      <c r="F21" s="25"/>
      <c r="G21" s="25"/>
      <c r="H21" s="25"/>
      <c r="I21" s="26"/>
      <c r="J21" s="26"/>
      <c r="K21" s="26"/>
      <c r="L21" s="24"/>
      <c r="M21" s="24"/>
      <c r="N21" s="24"/>
      <c r="O21" s="22"/>
      <c r="P21" s="27" t="str">
        <f aca="false">IF(C21="","",C21/3.305785)</f>
        <v/>
      </c>
      <c r="Q21" s="28" t="str">
        <f aca="false">IF(OR(N21&lt;&gt;"임대중",E21&lt;&gt;"상가",F21=""),"",F21+G21*100)</f>
        <v/>
      </c>
      <c r="R21" s="29" t="str">
        <f aca="false">IF(Q21="","",IF(Q21&lt;=$C$7,"○ 전면적용","× 초과 (5%상한 미적용)"))</f>
        <v/>
      </c>
      <c r="S21" s="29" t="str">
        <f aca="false">IF(N21&lt;&gt;"임대중","",IF(E21="상가",IF(I21="","확인 필요",TEXT(MAX(0,10-($C$6-I21)/365.25),"0.0")&amp;"년"),IF(E21="주택",IF(L21="있음","소진(1회)",IF(L21="없음",IF(K21="","확인 필요",TEXT(EDATE(K21,24),"yyyy-mm")&amp;"까지"),"확인 필요")),"확인 필요")))</f>
        <v/>
      </c>
      <c r="T21" s="29" t="str">
        <f aca="false">IF(N21="공실","공실",IF(N21="자가사용","자가사용",IF(K21="","만료일 없음",IF(K21&lt;$C$6,"만료 +"&amp;TEXT($C$6-K21,"0")&amp;"일",IF(K21-$C$6&lt;=30,"임박 "&amp;TEXT(K21-$C$6,"0")&amp;"일","유효")))))</f>
        <v>만료일 없음</v>
      </c>
      <c r="U21" s="28" t="n">
        <f aca="false">IF(N21&lt;&gt;"임대중",0,IF(G21="",0,G21)+IF(H21="",0,H21))</f>
        <v>0</v>
      </c>
    </row>
    <row r="22" customFormat="false" ht="18" hidden="false" customHeight="true" outlineLevel="0" collapsed="false">
      <c r="A22" s="22"/>
      <c r="B22" s="22"/>
      <c r="C22" s="23"/>
      <c r="D22" s="22"/>
      <c r="E22" s="24"/>
      <c r="F22" s="25"/>
      <c r="G22" s="25"/>
      <c r="H22" s="25"/>
      <c r="I22" s="26"/>
      <c r="J22" s="26"/>
      <c r="K22" s="26"/>
      <c r="L22" s="24"/>
      <c r="M22" s="24"/>
      <c r="N22" s="24"/>
      <c r="O22" s="22"/>
      <c r="P22" s="27" t="str">
        <f aca="false">IF(C22="","",C22/3.305785)</f>
        <v/>
      </c>
      <c r="Q22" s="28" t="str">
        <f aca="false">IF(OR(N22&lt;&gt;"임대중",E22&lt;&gt;"상가",F22=""),"",F22+G22*100)</f>
        <v/>
      </c>
      <c r="R22" s="29" t="str">
        <f aca="false">IF(Q22="","",IF(Q22&lt;=$C$7,"○ 전면적용","× 초과 (5%상한 미적용)"))</f>
        <v/>
      </c>
      <c r="S22" s="29" t="str">
        <f aca="false">IF(N22&lt;&gt;"임대중","",IF(E22="상가",IF(I22="","확인 필요",TEXT(MAX(0,10-($C$6-I22)/365.25),"0.0")&amp;"년"),IF(E22="주택",IF(L22="있음","소진(1회)",IF(L22="없음",IF(K22="","확인 필요",TEXT(EDATE(K22,24),"yyyy-mm")&amp;"까지"),"확인 필요")),"확인 필요")))</f>
        <v/>
      </c>
      <c r="T22" s="29" t="str">
        <f aca="false">IF(N22="공실","공실",IF(N22="자가사용","자가사용",IF(K22="","만료일 없음",IF(K22&lt;$C$6,"만료 +"&amp;TEXT($C$6-K22,"0")&amp;"일",IF(K22-$C$6&lt;=30,"임박 "&amp;TEXT(K22-$C$6,"0")&amp;"일","유효")))))</f>
        <v>만료일 없음</v>
      </c>
      <c r="U22" s="28" t="n">
        <f aca="false">IF(N22&lt;&gt;"임대중",0,IF(G22="",0,G22)+IF(H22="",0,H22))</f>
        <v>0</v>
      </c>
    </row>
    <row r="23" customFormat="false" ht="18" hidden="false" customHeight="true" outlineLevel="0" collapsed="false">
      <c r="A23" s="22"/>
      <c r="B23" s="22"/>
      <c r="C23" s="23"/>
      <c r="D23" s="22"/>
      <c r="E23" s="24"/>
      <c r="F23" s="25"/>
      <c r="G23" s="25"/>
      <c r="H23" s="25"/>
      <c r="I23" s="26"/>
      <c r="J23" s="26"/>
      <c r="K23" s="26"/>
      <c r="L23" s="24"/>
      <c r="M23" s="24"/>
      <c r="N23" s="24"/>
      <c r="O23" s="22"/>
      <c r="P23" s="27" t="str">
        <f aca="false">IF(C23="","",C23/3.305785)</f>
        <v/>
      </c>
      <c r="Q23" s="28" t="str">
        <f aca="false">IF(OR(N23&lt;&gt;"임대중",E23&lt;&gt;"상가",F23=""),"",F23+G23*100)</f>
        <v/>
      </c>
      <c r="R23" s="29" t="str">
        <f aca="false">IF(Q23="","",IF(Q23&lt;=$C$7,"○ 전면적용","× 초과 (5%상한 미적용)"))</f>
        <v/>
      </c>
      <c r="S23" s="29" t="str">
        <f aca="false">IF(N23&lt;&gt;"임대중","",IF(E23="상가",IF(I23="","확인 필요",TEXT(MAX(0,10-($C$6-I23)/365.25),"0.0")&amp;"년"),IF(E23="주택",IF(L23="있음","소진(1회)",IF(L23="없음",IF(K23="","확인 필요",TEXT(EDATE(K23,24),"yyyy-mm")&amp;"까지"),"확인 필요")),"확인 필요")))</f>
        <v/>
      </c>
      <c r="T23" s="29" t="str">
        <f aca="false">IF(N23="공실","공실",IF(N23="자가사용","자가사용",IF(K23="","만료일 없음",IF(K23&lt;$C$6,"만료 +"&amp;TEXT($C$6-K23,"0")&amp;"일",IF(K23-$C$6&lt;=30,"임박 "&amp;TEXT(K23-$C$6,"0")&amp;"일","유효")))))</f>
        <v>만료일 없음</v>
      </c>
      <c r="U23" s="28" t="n">
        <f aca="false">IF(N23&lt;&gt;"임대중",0,IF(G23="",0,G23)+IF(H23="",0,H23))</f>
        <v>0</v>
      </c>
    </row>
    <row r="24" customFormat="false" ht="18" hidden="false" customHeight="true" outlineLevel="0" collapsed="false">
      <c r="A24" s="22"/>
      <c r="B24" s="22"/>
      <c r="C24" s="23"/>
      <c r="D24" s="22"/>
      <c r="E24" s="24"/>
      <c r="F24" s="25"/>
      <c r="G24" s="25"/>
      <c r="H24" s="25"/>
      <c r="I24" s="26"/>
      <c r="J24" s="26"/>
      <c r="K24" s="26"/>
      <c r="L24" s="24"/>
      <c r="M24" s="24"/>
      <c r="N24" s="24"/>
      <c r="O24" s="22"/>
      <c r="P24" s="27" t="str">
        <f aca="false">IF(C24="","",C24/3.305785)</f>
        <v/>
      </c>
      <c r="Q24" s="28" t="str">
        <f aca="false">IF(OR(N24&lt;&gt;"임대중",E24&lt;&gt;"상가",F24=""),"",F24+G24*100)</f>
        <v/>
      </c>
      <c r="R24" s="29" t="str">
        <f aca="false">IF(Q24="","",IF(Q24&lt;=$C$7,"○ 전면적용","× 초과 (5%상한 미적용)"))</f>
        <v/>
      </c>
      <c r="S24" s="29" t="str">
        <f aca="false">IF(N24&lt;&gt;"임대중","",IF(E24="상가",IF(I24="","확인 필요",TEXT(MAX(0,10-($C$6-I24)/365.25),"0.0")&amp;"년"),IF(E24="주택",IF(L24="있음","소진(1회)",IF(L24="없음",IF(K24="","확인 필요",TEXT(EDATE(K24,24),"yyyy-mm")&amp;"까지"),"확인 필요")),"확인 필요")))</f>
        <v/>
      </c>
      <c r="T24" s="29" t="str">
        <f aca="false">IF(N24="공실","공실",IF(N24="자가사용","자가사용",IF(K24="","만료일 없음",IF(K24&lt;$C$6,"만료 +"&amp;TEXT($C$6-K24,"0")&amp;"일",IF(K24-$C$6&lt;=30,"임박 "&amp;TEXT(K24-$C$6,"0")&amp;"일","유효")))))</f>
        <v>만료일 없음</v>
      </c>
      <c r="U24" s="28" t="n">
        <f aca="false">IF(N24&lt;&gt;"임대중",0,IF(G24="",0,G24)+IF(H24="",0,H24))</f>
        <v>0</v>
      </c>
    </row>
    <row r="25" customFormat="false" ht="18" hidden="false" customHeight="true" outlineLevel="0" collapsed="false">
      <c r="A25" s="22"/>
      <c r="B25" s="22"/>
      <c r="C25" s="23"/>
      <c r="D25" s="22"/>
      <c r="E25" s="24"/>
      <c r="F25" s="25"/>
      <c r="G25" s="25"/>
      <c r="H25" s="25"/>
      <c r="I25" s="26"/>
      <c r="J25" s="26"/>
      <c r="K25" s="26"/>
      <c r="L25" s="24"/>
      <c r="M25" s="24"/>
      <c r="N25" s="24"/>
      <c r="O25" s="22"/>
      <c r="P25" s="27" t="str">
        <f aca="false">IF(C25="","",C25/3.305785)</f>
        <v/>
      </c>
      <c r="Q25" s="28" t="str">
        <f aca="false">IF(OR(N25&lt;&gt;"임대중",E25&lt;&gt;"상가",F25=""),"",F25+G25*100)</f>
        <v/>
      </c>
      <c r="R25" s="29" t="str">
        <f aca="false">IF(Q25="","",IF(Q25&lt;=$C$7,"○ 전면적용","× 초과 (5%상한 미적용)"))</f>
        <v/>
      </c>
      <c r="S25" s="29" t="str">
        <f aca="false">IF(N25&lt;&gt;"임대중","",IF(E25="상가",IF(I25="","확인 필요",TEXT(MAX(0,10-($C$6-I25)/365.25),"0.0")&amp;"년"),IF(E25="주택",IF(L25="있음","소진(1회)",IF(L25="없음",IF(K25="","확인 필요",TEXT(EDATE(K25,24),"yyyy-mm")&amp;"까지"),"확인 필요")),"확인 필요")))</f>
        <v/>
      </c>
      <c r="T25" s="29" t="str">
        <f aca="false">IF(N25="공실","공실",IF(N25="자가사용","자가사용",IF(K25="","만료일 없음",IF(K25&lt;$C$6,"만료 +"&amp;TEXT($C$6-K25,"0")&amp;"일",IF(K25-$C$6&lt;=30,"임박 "&amp;TEXT(K25-$C$6,"0")&amp;"일","유효")))))</f>
        <v>만료일 없음</v>
      </c>
      <c r="U25" s="28" t="n">
        <f aca="false">IF(N25&lt;&gt;"임대중",0,IF(G25="",0,G25)+IF(H25="",0,H25))</f>
        <v>0</v>
      </c>
    </row>
    <row r="26" customFormat="false" ht="18" hidden="false" customHeight="true" outlineLevel="0" collapsed="false">
      <c r="A26" s="22"/>
      <c r="B26" s="22"/>
      <c r="C26" s="23"/>
      <c r="D26" s="22"/>
      <c r="E26" s="24"/>
      <c r="F26" s="25"/>
      <c r="G26" s="25"/>
      <c r="H26" s="25"/>
      <c r="I26" s="26"/>
      <c r="J26" s="26"/>
      <c r="K26" s="26"/>
      <c r="L26" s="24"/>
      <c r="M26" s="24"/>
      <c r="N26" s="24"/>
      <c r="O26" s="22"/>
      <c r="P26" s="27" t="str">
        <f aca="false">IF(C26="","",C26/3.305785)</f>
        <v/>
      </c>
      <c r="Q26" s="28" t="str">
        <f aca="false">IF(OR(N26&lt;&gt;"임대중",E26&lt;&gt;"상가",F26=""),"",F26+G26*100)</f>
        <v/>
      </c>
      <c r="R26" s="29" t="str">
        <f aca="false">IF(Q26="","",IF(Q26&lt;=$C$7,"○ 전면적용","× 초과 (5%상한 미적용)"))</f>
        <v/>
      </c>
      <c r="S26" s="29" t="str">
        <f aca="false">IF(N26&lt;&gt;"임대중","",IF(E26="상가",IF(I26="","확인 필요",TEXT(MAX(0,10-($C$6-I26)/365.25),"0.0")&amp;"년"),IF(E26="주택",IF(L26="있음","소진(1회)",IF(L26="없음",IF(K26="","확인 필요",TEXT(EDATE(K26,24),"yyyy-mm")&amp;"까지"),"확인 필요")),"확인 필요")))</f>
        <v/>
      </c>
      <c r="T26" s="29" t="str">
        <f aca="false">IF(N26="공실","공실",IF(N26="자가사용","자가사용",IF(K26="","만료일 없음",IF(K26&lt;$C$6,"만료 +"&amp;TEXT($C$6-K26,"0")&amp;"일",IF(K26-$C$6&lt;=30,"임박 "&amp;TEXT(K26-$C$6,"0")&amp;"일","유효")))))</f>
        <v>만료일 없음</v>
      </c>
      <c r="U26" s="28" t="n">
        <f aca="false">IF(N26&lt;&gt;"임대중",0,IF(G26="",0,G26)+IF(H26="",0,H26))</f>
        <v>0</v>
      </c>
    </row>
    <row r="27" customFormat="false" ht="18" hidden="false" customHeight="true" outlineLevel="0" collapsed="false">
      <c r="A27" s="22"/>
      <c r="B27" s="22"/>
      <c r="C27" s="23"/>
      <c r="D27" s="22"/>
      <c r="E27" s="24"/>
      <c r="F27" s="25"/>
      <c r="G27" s="25"/>
      <c r="H27" s="25"/>
      <c r="I27" s="26"/>
      <c r="J27" s="26"/>
      <c r="K27" s="26"/>
      <c r="L27" s="24"/>
      <c r="M27" s="24"/>
      <c r="N27" s="24"/>
      <c r="O27" s="22"/>
      <c r="P27" s="27" t="str">
        <f aca="false">IF(C27="","",C27/3.305785)</f>
        <v/>
      </c>
      <c r="Q27" s="28" t="str">
        <f aca="false">IF(OR(N27&lt;&gt;"임대중",E27&lt;&gt;"상가",F27=""),"",F27+G27*100)</f>
        <v/>
      </c>
      <c r="R27" s="29" t="str">
        <f aca="false">IF(Q27="","",IF(Q27&lt;=$C$7,"○ 전면적용","× 초과 (5%상한 미적용)"))</f>
        <v/>
      </c>
      <c r="S27" s="29" t="str">
        <f aca="false">IF(N27&lt;&gt;"임대중","",IF(E27="상가",IF(I27="","확인 필요",TEXT(MAX(0,10-($C$6-I27)/365.25),"0.0")&amp;"년"),IF(E27="주택",IF(L27="있음","소진(1회)",IF(L27="없음",IF(K27="","확인 필요",TEXT(EDATE(K27,24),"yyyy-mm")&amp;"까지"),"확인 필요")),"확인 필요")))</f>
        <v/>
      </c>
      <c r="T27" s="29" t="str">
        <f aca="false">IF(N27="공실","공실",IF(N27="자가사용","자가사용",IF(K27="","만료일 없음",IF(K27&lt;$C$6,"만료 +"&amp;TEXT($C$6-K27,"0")&amp;"일",IF(K27-$C$6&lt;=30,"임박 "&amp;TEXT(K27-$C$6,"0")&amp;"일","유효")))))</f>
        <v>만료일 없음</v>
      </c>
      <c r="U27" s="28" t="n">
        <f aca="false">IF(N27&lt;&gt;"임대중",0,IF(G27="",0,G27)+IF(H27="",0,H27))</f>
        <v>0</v>
      </c>
    </row>
    <row r="28" customFormat="false" ht="18" hidden="false" customHeight="true" outlineLevel="0" collapsed="false">
      <c r="A28" s="22"/>
      <c r="B28" s="22"/>
      <c r="C28" s="23"/>
      <c r="D28" s="22"/>
      <c r="E28" s="24"/>
      <c r="F28" s="25"/>
      <c r="G28" s="25"/>
      <c r="H28" s="25"/>
      <c r="I28" s="26"/>
      <c r="J28" s="26"/>
      <c r="K28" s="26"/>
      <c r="L28" s="24"/>
      <c r="M28" s="24"/>
      <c r="N28" s="24"/>
      <c r="O28" s="22"/>
      <c r="P28" s="27" t="str">
        <f aca="false">IF(C28="","",C28/3.305785)</f>
        <v/>
      </c>
      <c r="Q28" s="28" t="str">
        <f aca="false">IF(OR(N28&lt;&gt;"임대중",E28&lt;&gt;"상가",F28=""),"",F28+G28*100)</f>
        <v/>
      </c>
      <c r="R28" s="29" t="str">
        <f aca="false">IF(Q28="","",IF(Q28&lt;=$C$7,"○ 전면적용","× 초과 (5%상한 미적용)"))</f>
        <v/>
      </c>
      <c r="S28" s="29" t="str">
        <f aca="false">IF(N28&lt;&gt;"임대중","",IF(E28="상가",IF(I28="","확인 필요",TEXT(MAX(0,10-($C$6-I28)/365.25),"0.0")&amp;"년"),IF(E28="주택",IF(L28="있음","소진(1회)",IF(L28="없음",IF(K28="","확인 필요",TEXT(EDATE(K28,24),"yyyy-mm")&amp;"까지"),"확인 필요")),"확인 필요")))</f>
        <v/>
      </c>
      <c r="T28" s="29" t="str">
        <f aca="false">IF(N28="공실","공실",IF(N28="자가사용","자가사용",IF(K28="","만료일 없음",IF(K28&lt;$C$6,"만료 +"&amp;TEXT($C$6-K28,"0")&amp;"일",IF(K28-$C$6&lt;=30,"임박 "&amp;TEXT(K28-$C$6,"0")&amp;"일","유효")))))</f>
        <v>만료일 없음</v>
      </c>
      <c r="U28" s="28" t="n">
        <f aca="false">IF(N28&lt;&gt;"임대중",0,IF(G28="",0,G28)+IF(H28="",0,H28))</f>
        <v>0</v>
      </c>
    </row>
    <row r="29" customFormat="false" ht="18" hidden="false" customHeight="true" outlineLevel="0" collapsed="false">
      <c r="A29" s="22"/>
      <c r="B29" s="22"/>
      <c r="C29" s="23"/>
      <c r="D29" s="22"/>
      <c r="E29" s="24"/>
      <c r="F29" s="25"/>
      <c r="G29" s="25"/>
      <c r="H29" s="25"/>
      <c r="I29" s="26"/>
      <c r="J29" s="26"/>
      <c r="K29" s="26"/>
      <c r="L29" s="24"/>
      <c r="M29" s="24"/>
      <c r="N29" s="24"/>
      <c r="O29" s="22"/>
      <c r="P29" s="27" t="str">
        <f aca="false">IF(C29="","",C29/3.305785)</f>
        <v/>
      </c>
      <c r="Q29" s="28" t="str">
        <f aca="false">IF(OR(N29&lt;&gt;"임대중",E29&lt;&gt;"상가",F29=""),"",F29+G29*100)</f>
        <v/>
      </c>
      <c r="R29" s="29" t="str">
        <f aca="false">IF(Q29="","",IF(Q29&lt;=$C$7,"○ 전면적용","× 초과 (5%상한 미적용)"))</f>
        <v/>
      </c>
      <c r="S29" s="29" t="str">
        <f aca="false">IF(N29&lt;&gt;"임대중","",IF(E29="상가",IF(I29="","확인 필요",TEXT(MAX(0,10-($C$6-I29)/365.25),"0.0")&amp;"년"),IF(E29="주택",IF(L29="있음","소진(1회)",IF(L29="없음",IF(K29="","확인 필요",TEXT(EDATE(K29,24),"yyyy-mm")&amp;"까지"),"확인 필요")),"확인 필요")))</f>
        <v/>
      </c>
      <c r="T29" s="29" t="str">
        <f aca="false">IF(N29="공실","공실",IF(N29="자가사용","자가사용",IF(K29="","만료일 없음",IF(K29&lt;$C$6,"만료 +"&amp;TEXT($C$6-K29,"0")&amp;"일",IF(K29-$C$6&lt;=30,"임박 "&amp;TEXT(K29-$C$6,"0")&amp;"일","유효")))))</f>
        <v>만료일 없음</v>
      </c>
      <c r="U29" s="28" t="n">
        <f aca="false">IF(N29&lt;&gt;"임대중",0,IF(G29="",0,G29)+IF(H29="",0,H29))</f>
        <v>0</v>
      </c>
    </row>
    <row r="30" customFormat="false" ht="18" hidden="false" customHeight="true" outlineLevel="0" collapsed="false">
      <c r="A30" s="22"/>
      <c r="B30" s="22"/>
      <c r="C30" s="23"/>
      <c r="D30" s="22"/>
      <c r="E30" s="24"/>
      <c r="F30" s="25"/>
      <c r="G30" s="25"/>
      <c r="H30" s="25"/>
      <c r="I30" s="26"/>
      <c r="J30" s="26"/>
      <c r="K30" s="26"/>
      <c r="L30" s="24"/>
      <c r="M30" s="24"/>
      <c r="N30" s="24"/>
      <c r="O30" s="22"/>
      <c r="P30" s="27" t="str">
        <f aca="false">IF(C30="","",C30/3.305785)</f>
        <v/>
      </c>
      <c r="Q30" s="28" t="str">
        <f aca="false">IF(OR(N30&lt;&gt;"임대중",E30&lt;&gt;"상가",F30=""),"",F30+G30*100)</f>
        <v/>
      </c>
      <c r="R30" s="29" t="str">
        <f aca="false">IF(Q30="","",IF(Q30&lt;=$C$7,"○ 전면적용","× 초과 (5%상한 미적용)"))</f>
        <v/>
      </c>
      <c r="S30" s="29" t="str">
        <f aca="false">IF(N30&lt;&gt;"임대중","",IF(E30="상가",IF(I30="","확인 필요",TEXT(MAX(0,10-($C$6-I30)/365.25),"0.0")&amp;"년"),IF(E30="주택",IF(L30="있음","소진(1회)",IF(L30="없음",IF(K30="","확인 필요",TEXT(EDATE(K30,24),"yyyy-mm")&amp;"까지"),"확인 필요")),"확인 필요")))</f>
        <v/>
      </c>
      <c r="T30" s="29" t="str">
        <f aca="false">IF(N30="공실","공실",IF(N30="자가사용","자가사용",IF(K30="","만료일 없음",IF(K30&lt;$C$6,"만료 +"&amp;TEXT($C$6-K30,"0")&amp;"일",IF(K30-$C$6&lt;=30,"임박 "&amp;TEXT(K30-$C$6,"0")&amp;"일","유효")))))</f>
        <v>만료일 없음</v>
      </c>
      <c r="U30" s="28" t="n">
        <f aca="false">IF(N30&lt;&gt;"임대중",0,IF(G30="",0,G30)+IF(H30="",0,H30))</f>
        <v>0</v>
      </c>
    </row>
    <row r="31" customFormat="false" ht="18" hidden="false" customHeight="true" outlineLevel="0" collapsed="false">
      <c r="A31" s="22"/>
      <c r="B31" s="22"/>
      <c r="C31" s="23"/>
      <c r="D31" s="22"/>
      <c r="E31" s="24"/>
      <c r="F31" s="25"/>
      <c r="G31" s="25"/>
      <c r="H31" s="25"/>
      <c r="I31" s="26"/>
      <c r="J31" s="26"/>
      <c r="K31" s="26"/>
      <c r="L31" s="24"/>
      <c r="M31" s="24"/>
      <c r="N31" s="24"/>
      <c r="O31" s="22"/>
      <c r="P31" s="27" t="str">
        <f aca="false">IF(C31="","",C31/3.305785)</f>
        <v/>
      </c>
      <c r="Q31" s="28" t="str">
        <f aca="false">IF(OR(N31&lt;&gt;"임대중",E31&lt;&gt;"상가",F31=""),"",F31+G31*100)</f>
        <v/>
      </c>
      <c r="R31" s="29" t="str">
        <f aca="false">IF(Q31="","",IF(Q31&lt;=$C$7,"○ 전면적용","× 초과 (5%상한 미적용)"))</f>
        <v/>
      </c>
      <c r="S31" s="29" t="str">
        <f aca="false">IF(N31&lt;&gt;"임대중","",IF(E31="상가",IF(I31="","확인 필요",TEXT(MAX(0,10-($C$6-I31)/365.25),"0.0")&amp;"년"),IF(E31="주택",IF(L31="있음","소진(1회)",IF(L31="없음",IF(K31="","확인 필요",TEXT(EDATE(K31,24),"yyyy-mm")&amp;"까지"),"확인 필요")),"확인 필요")))</f>
        <v/>
      </c>
      <c r="T31" s="29" t="str">
        <f aca="false">IF(N31="공실","공실",IF(N31="자가사용","자가사용",IF(K31="","만료일 없음",IF(K31&lt;$C$6,"만료 +"&amp;TEXT($C$6-K31,"0")&amp;"일",IF(K31-$C$6&lt;=30,"임박 "&amp;TEXT(K31-$C$6,"0")&amp;"일","유효")))))</f>
        <v>만료일 없음</v>
      </c>
      <c r="U31" s="28" t="n">
        <f aca="false">IF(N31&lt;&gt;"임대중",0,IF(G31="",0,G31)+IF(H31="",0,H31))</f>
        <v>0</v>
      </c>
    </row>
    <row r="32" customFormat="false" ht="18" hidden="false" customHeight="true" outlineLevel="0" collapsed="false">
      <c r="A32" s="22"/>
      <c r="B32" s="22"/>
      <c r="C32" s="23"/>
      <c r="D32" s="22"/>
      <c r="E32" s="24"/>
      <c r="F32" s="25"/>
      <c r="G32" s="25"/>
      <c r="H32" s="25"/>
      <c r="I32" s="26"/>
      <c r="J32" s="26"/>
      <c r="K32" s="26"/>
      <c r="L32" s="24"/>
      <c r="M32" s="24"/>
      <c r="N32" s="24"/>
      <c r="O32" s="22"/>
      <c r="P32" s="27" t="str">
        <f aca="false">IF(C32="","",C32/3.305785)</f>
        <v/>
      </c>
      <c r="Q32" s="28" t="str">
        <f aca="false">IF(OR(N32&lt;&gt;"임대중",E32&lt;&gt;"상가",F32=""),"",F32+G32*100)</f>
        <v/>
      </c>
      <c r="R32" s="29" t="str">
        <f aca="false">IF(Q32="","",IF(Q32&lt;=$C$7,"○ 전면적용","× 초과 (5%상한 미적용)"))</f>
        <v/>
      </c>
      <c r="S32" s="29" t="str">
        <f aca="false">IF(N32&lt;&gt;"임대중","",IF(E32="상가",IF(I32="","확인 필요",TEXT(MAX(0,10-($C$6-I32)/365.25),"0.0")&amp;"년"),IF(E32="주택",IF(L32="있음","소진(1회)",IF(L32="없음",IF(K32="","확인 필요",TEXT(EDATE(K32,24),"yyyy-mm")&amp;"까지"),"확인 필요")),"확인 필요")))</f>
        <v/>
      </c>
      <c r="T32" s="29" t="str">
        <f aca="false">IF(N32="공실","공실",IF(N32="자가사용","자가사용",IF(K32="","만료일 없음",IF(K32&lt;$C$6,"만료 +"&amp;TEXT($C$6-K32,"0")&amp;"일",IF(K32-$C$6&lt;=30,"임박 "&amp;TEXT(K32-$C$6,"0")&amp;"일","유효")))))</f>
        <v>만료일 없음</v>
      </c>
      <c r="U32" s="28" t="n">
        <f aca="false">IF(N32&lt;&gt;"임대중",0,IF(G32="",0,G32)+IF(H32="",0,H32))</f>
        <v>0</v>
      </c>
    </row>
    <row r="33" customFormat="false" ht="18" hidden="false" customHeight="true" outlineLevel="0" collapsed="false">
      <c r="A33" s="22"/>
      <c r="B33" s="22"/>
      <c r="C33" s="23"/>
      <c r="D33" s="22"/>
      <c r="E33" s="24"/>
      <c r="F33" s="25"/>
      <c r="G33" s="25"/>
      <c r="H33" s="25"/>
      <c r="I33" s="26"/>
      <c r="J33" s="26"/>
      <c r="K33" s="26"/>
      <c r="L33" s="24"/>
      <c r="M33" s="24"/>
      <c r="N33" s="24"/>
      <c r="O33" s="22"/>
      <c r="P33" s="27" t="str">
        <f aca="false">IF(C33="","",C33/3.305785)</f>
        <v/>
      </c>
      <c r="Q33" s="28" t="str">
        <f aca="false">IF(OR(N33&lt;&gt;"임대중",E33&lt;&gt;"상가",F33=""),"",F33+G33*100)</f>
        <v/>
      </c>
      <c r="R33" s="29" t="str">
        <f aca="false">IF(Q33="","",IF(Q33&lt;=$C$7,"○ 전면적용","× 초과 (5%상한 미적용)"))</f>
        <v/>
      </c>
      <c r="S33" s="29" t="str">
        <f aca="false">IF(N33&lt;&gt;"임대중","",IF(E33="상가",IF(I33="","확인 필요",TEXT(MAX(0,10-($C$6-I33)/365.25),"0.0")&amp;"년"),IF(E33="주택",IF(L33="있음","소진(1회)",IF(L33="없음",IF(K33="","확인 필요",TEXT(EDATE(K33,24),"yyyy-mm")&amp;"까지"),"확인 필요")),"확인 필요")))</f>
        <v/>
      </c>
      <c r="T33" s="29" t="str">
        <f aca="false">IF(N33="공실","공실",IF(N33="자가사용","자가사용",IF(K33="","만료일 없음",IF(K33&lt;$C$6,"만료 +"&amp;TEXT($C$6-K33,"0")&amp;"일",IF(K33-$C$6&lt;=30,"임박 "&amp;TEXT(K33-$C$6,"0")&amp;"일","유효")))))</f>
        <v>만료일 없음</v>
      </c>
      <c r="U33" s="28" t="n">
        <f aca="false">IF(N33&lt;&gt;"임대중",0,IF(G33="",0,G33)+IF(H33="",0,H33))</f>
        <v>0</v>
      </c>
    </row>
    <row r="34" customFormat="false" ht="18" hidden="false" customHeight="true" outlineLevel="0" collapsed="false">
      <c r="A34" s="22"/>
      <c r="B34" s="22"/>
      <c r="C34" s="23"/>
      <c r="D34" s="22"/>
      <c r="E34" s="24"/>
      <c r="F34" s="25"/>
      <c r="G34" s="25"/>
      <c r="H34" s="25"/>
      <c r="I34" s="26"/>
      <c r="J34" s="26"/>
      <c r="K34" s="26"/>
      <c r="L34" s="24"/>
      <c r="M34" s="24"/>
      <c r="N34" s="24"/>
      <c r="O34" s="22"/>
      <c r="P34" s="27" t="str">
        <f aca="false">IF(C34="","",C34/3.305785)</f>
        <v/>
      </c>
      <c r="Q34" s="28" t="str">
        <f aca="false">IF(OR(N34&lt;&gt;"임대중",E34&lt;&gt;"상가",F34=""),"",F34+G34*100)</f>
        <v/>
      </c>
      <c r="R34" s="29" t="str">
        <f aca="false">IF(Q34="","",IF(Q34&lt;=$C$7,"○ 전면적용","× 초과 (5%상한 미적용)"))</f>
        <v/>
      </c>
      <c r="S34" s="29" t="str">
        <f aca="false">IF(N34&lt;&gt;"임대중","",IF(E34="상가",IF(I34="","확인 필요",TEXT(MAX(0,10-($C$6-I34)/365.25),"0.0")&amp;"년"),IF(E34="주택",IF(L34="있음","소진(1회)",IF(L34="없음",IF(K34="","확인 필요",TEXT(EDATE(K34,24),"yyyy-mm")&amp;"까지"),"확인 필요")),"확인 필요")))</f>
        <v/>
      </c>
      <c r="T34" s="29" t="str">
        <f aca="false">IF(N34="공실","공실",IF(N34="자가사용","자가사용",IF(K34="","만료일 없음",IF(K34&lt;$C$6,"만료 +"&amp;TEXT($C$6-K34,"0")&amp;"일",IF(K34-$C$6&lt;=30,"임박 "&amp;TEXT(K34-$C$6,"0")&amp;"일","유효")))))</f>
        <v>만료일 없음</v>
      </c>
      <c r="U34" s="28" t="n">
        <f aca="false">IF(N34&lt;&gt;"임대중",0,IF(G34="",0,G34)+IF(H34="",0,H34))</f>
        <v>0</v>
      </c>
    </row>
    <row r="35" customFormat="false" ht="18" hidden="false" customHeight="true" outlineLevel="0" collapsed="false">
      <c r="A35" s="22"/>
      <c r="B35" s="22"/>
      <c r="C35" s="23"/>
      <c r="D35" s="22"/>
      <c r="E35" s="24"/>
      <c r="F35" s="25"/>
      <c r="G35" s="25"/>
      <c r="H35" s="25"/>
      <c r="I35" s="26"/>
      <c r="J35" s="26"/>
      <c r="K35" s="26"/>
      <c r="L35" s="24"/>
      <c r="M35" s="24"/>
      <c r="N35" s="24"/>
      <c r="O35" s="22"/>
      <c r="P35" s="27" t="str">
        <f aca="false">IF(C35="","",C35/3.305785)</f>
        <v/>
      </c>
      <c r="Q35" s="28" t="str">
        <f aca="false">IF(OR(N35&lt;&gt;"임대중",E35&lt;&gt;"상가",F35=""),"",F35+G35*100)</f>
        <v/>
      </c>
      <c r="R35" s="29" t="str">
        <f aca="false">IF(Q35="","",IF(Q35&lt;=$C$7,"○ 전면적용","× 초과 (5%상한 미적용)"))</f>
        <v/>
      </c>
      <c r="S35" s="29" t="str">
        <f aca="false">IF(N35&lt;&gt;"임대중","",IF(E35="상가",IF(I35="","확인 필요",TEXT(MAX(0,10-($C$6-I35)/365.25),"0.0")&amp;"년"),IF(E35="주택",IF(L35="있음","소진(1회)",IF(L35="없음",IF(K35="","확인 필요",TEXT(EDATE(K35,24),"yyyy-mm")&amp;"까지"),"확인 필요")),"확인 필요")))</f>
        <v/>
      </c>
      <c r="T35" s="29" t="str">
        <f aca="false">IF(N35="공실","공실",IF(N35="자가사용","자가사용",IF(K35="","만료일 없음",IF(K35&lt;$C$6,"만료 +"&amp;TEXT($C$6-K35,"0")&amp;"일",IF(K35-$C$6&lt;=30,"임박 "&amp;TEXT(K35-$C$6,"0")&amp;"일","유효")))))</f>
        <v>만료일 없음</v>
      </c>
      <c r="U35" s="28" t="n">
        <f aca="false">IF(N35&lt;&gt;"임대중",0,IF(G35="",0,G35)+IF(H35="",0,H35))</f>
        <v>0</v>
      </c>
    </row>
    <row r="36" customFormat="false" ht="18" hidden="false" customHeight="true" outlineLevel="0" collapsed="false">
      <c r="A36" s="22"/>
      <c r="B36" s="22"/>
      <c r="C36" s="23"/>
      <c r="D36" s="22"/>
      <c r="E36" s="24"/>
      <c r="F36" s="25"/>
      <c r="G36" s="25"/>
      <c r="H36" s="25"/>
      <c r="I36" s="26"/>
      <c r="J36" s="26"/>
      <c r="K36" s="26"/>
      <c r="L36" s="24"/>
      <c r="M36" s="24"/>
      <c r="N36" s="24"/>
      <c r="O36" s="22"/>
      <c r="P36" s="27" t="str">
        <f aca="false">IF(C36="","",C36/3.305785)</f>
        <v/>
      </c>
      <c r="Q36" s="28" t="str">
        <f aca="false">IF(OR(N36&lt;&gt;"임대중",E36&lt;&gt;"상가",F36=""),"",F36+G36*100)</f>
        <v/>
      </c>
      <c r="R36" s="29" t="str">
        <f aca="false">IF(Q36="","",IF(Q36&lt;=$C$7,"○ 전면적용","× 초과 (5%상한 미적용)"))</f>
        <v/>
      </c>
      <c r="S36" s="29" t="str">
        <f aca="false">IF(N36&lt;&gt;"임대중","",IF(E36="상가",IF(I36="","확인 필요",TEXT(MAX(0,10-($C$6-I36)/365.25),"0.0")&amp;"년"),IF(E36="주택",IF(L36="있음","소진(1회)",IF(L36="없음",IF(K36="","확인 필요",TEXT(EDATE(K36,24),"yyyy-mm")&amp;"까지"),"확인 필요")),"확인 필요")))</f>
        <v/>
      </c>
      <c r="T36" s="29" t="str">
        <f aca="false">IF(N36="공실","공실",IF(N36="자가사용","자가사용",IF(K36="","만료일 없음",IF(K36&lt;$C$6,"만료 +"&amp;TEXT($C$6-K36,"0")&amp;"일",IF(K36-$C$6&lt;=30,"임박 "&amp;TEXT(K36-$C$6,"0")&amp;"일","유효")))))</f>
        <v>만료일 없음</v>
      </c>
      <c r="U36" s="28" t="n">
        <f aca="false">IF(N36&lt;&gt;"임대중",0,IF(G36="",0,G36)+IF(H36="",0,H36))</f>
        <v>0</v>
      </c>
    </row>
    <row r="37" customFormat="false" ht="18" hidden="false" customHeight="true" outlineLevel="0" collapsed="false">
      <c r="A37" s="22"/>
      <c r="B37" s="22"/>
      <c r="C37" s="23"/>
      <c r="D37" s="22"/>
      <c r="E37" s="24"/>
      <c r="F37" s="25"/>
      <c r="G37" s="25"/>
      <c r="H37" s="25"/>
      <c r="I37" s="26"/>
      <c r="J37" s="26"/>
      <c r="K37" s="26"/>
      <c r="L37" s="24"/>
      <c r="M37" s="24"/>
      <c r="N37" s="24"/>
      <c r="O37" s="22"/>
      <c r="P37" s="27" t="str">
        <f aca="false">IF(C37="","",C37/3.305785)</f>
        <v/>
      </c>
      <c r="Q37" s="28" t="str">
        <f aca="false">IF(OR(N37&lt;&gt;"임대중",E37&lt;&gt;"상가",F37=""),"",F37+G37*100)</f>
        <v/>
      </c>
      <c r="R37" s="29" t="str">
        <f aca="false">IF(Q37="","",IF(Q37&lt;=$C$7,"○ 전면적용","× 초과 (5%상한 미적용)"))</f>
        <v/>
      </c>
      <c r="S37" s="29" t="str">
        <f aca="false">IF(N37&lt;&gt;"임대중","",IF(E37="상가",IF(I37="","확인 필요",TEXT(MAX(0,10-($C$6-I37)/365.25),"0.0")&amp;"년"),IF(E37="주택",IF(L37="있음","소진(1회)",IF(L37="없음",IF(K37="","확인 필요",TEXT(EDATE(K37,24),"yyyy-mm")&amp;"까지"),"확인 필요")),"확인 필요")))</f>
        <v/>
      </c>
      <c r="T37" s="29" t="str">
        <f aca="false">IF(N37="공실","공실",IF(N37="자가사용","자가사용",IF(K37="","만료일 없음",IF(K37&lt;$C$6,"만료 +"&amp;TEXT($C$6-K37,"0")&amp;"일",IF(K37-$C$6&lt;=30,"임박 "&amp;TEXT(K37-$C$6,"0")&amp;"일","유효")))))</f>
        <v>만료일 없음</v>
      </c>
      <c r="U37" s="28" t="n">
        <f aca="false">IF(N37&lt;&gt;"임대중",0,IF(G37="",0,G37)+IF(H37="",0,H37))</f>
        <v>0</v>
      </c>
    </row>
    <row r="38" customFormat="false" ht="15" hidden="false" customHeight="false" outlineLevel="0" collapsed="false">
      <c r="A38" s="9" t="s">
        <v>95</v>
      </c>
      <c r="B38" s="9"/>
      <c r="C38" s="30" t="n">
        <f aca="false">SUM(C13:C37)</f>
        <v>132.5</v>
      </c>
      <c r="D38" s="31"/>
      <c r="E38" s="31"/>
      <c r="F38" s="32" t="n">
        <f aca="false">SUM(F13:F37)</f>
        <v>50000000</v>
      </c>
      <c r="G38" s="32" t="n">
        <f aca="false">SUM(G13:G37)</f>
        <v>4500000</v>
      </c>
      <c r="H38" s="32" t="n">
        <f aca="false">SUM(H13:H37)</f>
        <v>550000</v>
      </c>
      <c r="I38" s="31"/>
      <c r="J38" s="31"/>
      <c r="K38" s="31"/>
      <c r="L38" s="31"/>
      <c r="M38" s="31"/>
      <c r="N38" s="31"/>
      <c r="O38" s="31"/>
      <c r="P38" s="33" t="n">
        <f aca="false">SUM(P13:P37)</f>
        <v>40.0812515030469</v>
      </c>
      <c r="Q38" s="31"/>
      <c r="R38" s="31"/>
      <c r="S38" s="31"/>
      <c r="T38" s="31"/>
      <c r="U38" s="32" t="n">
        <f aca="false">SUM(U13:U37)</f>
        <v>5050000</v>
      </c>
    </row>
  </sheetData>
  <mergeCells count="16">
    <mergeCell ref="A1:H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38:B38"/>
  </mergeCells>
  <dataValidations count="4">
    <dataValidation allowBlank="true" errorStyle="stop" operator="between" showDropDown="false" showErrorMessage="false" showInputMessage="false" sqref="E13:E212" type="list">
      <formula1>"상가,주택,미확인"</formula1>
      <formula2>0</formula2>
    </dataValidation>
    <dataValidation allowBlank="true" errorStyle="stop" operator="between" showDropDown="false" showErrorMessage="false" showInputMessage="false" sqref="L13:L212" type="list">
      <formula1>"있음,없음,모름"</formula1>
      <formula2>0</formula2>
    </dataValidation>
    <dataValidation allowBlank="true" errorStyle="stop" operator="between" showDropDown="false" showErrorMessage="false" showInputMessage="false" sqref="M13:M212" type="list">
      <formula1>"사업자등록,주민등록,미확인"</formula1>
      <formula2>0</formula2>
    </dataValidation>
    <dataValidation allowBlank="true" errorStyle="stop" operator="between" showDropDown="false" showErrorMessage="false" showInputMessage="false" sqref="N13:N212" type="list">
      <formula1>"임대중,공실,자가사용"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48"/>
  </cols>
  <sheetData>
    <row r="2" customFormat="false" ht="17.35" hidden="false" customHeight="false" outlineLevel="0" collapsed="false">
      <c r="B2" s="34" t="s">
        <v>96</v>
      </c>
      <c r="C2" s="34"/>
      <c r="D2" s="34"/>
      <c r="E2" s="34"/>
    </row>
    <row r="4" customFormat="false" ht="15" hidden="false" customHeight="false" outlineLevel="0" collapsed="false">
      <c r="B4" s="35" t="s">
        <v>97</v>
      </c>
      <c r="C4" s="36" t="s">
        <v>98</v>
      </c>
      <c r="D4" s="36" t="s">
        <v>99</v>
      </c>
      <c r="E4" s="36" t="s">
        <v>100</v>
      </c>
    </row>
    <row r="5" customFormat="false" ht="25.5" hidden="false" customHeight="true" outlineLevel="0" collapsed="false">
      <c r="B5" s="37" t="s">
        <v>101</v>
      </c>
      <c r="C5" s="38" t="s">
        <v>102</v>
      </c>
      <c r="D5" s="39" t="str">
        <f aca="false">TEXT(렌트롤!G38,"#,##0")&amp;"원"</f>
        <v>4,500,000원</v>
      </c>
      <c r="E5" s="40" t="s">
        <v>103</v>
      </c>
    </row>
    <row r="6" customFormat="false" ht="25.5" hidden="false" customHeight="true" outlineLevel="0" collapsed="false">
      <c r="B6" s="37" t="s">
        <v>104</v>
      </c>
      <c r="C6" s="38" t="s">
        <v>105</v>
      </c>
      <c r="D6" s="39" t="str">
        <f aca="false">TEXT(렌트롤!C38,"#,##0.00")&amp;"㎡ / "&amp;TEXT(렌트롤!P38,"#,##0.0")&amp;"평"</f>
        <v>132.50㎡ / 40.1평</v>
      </c>
      <c r="E6" s="40" t="s">
        <v>106</v>
      </c>
    </row>
    <row r="7" customFormat="false" ht="25.5" hidden="false" customHeight="true" outlineLevel="0" collapsed="false">
      <c r="B7" s="37" t="s">
        <v>107</v>
      </c>
      <c r="C7" s="38" t="s">
        <v>108</v>
      </c>
      <c r="D7" s="39" t="str">
        <f aca="false">COUNTIF(렌트롤!T13:T37,"만료*")&amp;" / "&amp;COUNTIF(렌트롤!N13:N37,"임대중")&amp;"건"</f>
        <v>24 / 1건</v>
      </c>
      <c r="E7" s="41" t="s">
        <v>109</v>
      </c>
    </row>
    <row r="8" customFormat="false" ht="25.5" hidden="false" customHeight="true" outlineLevel="0" collapsed="false">
      <c r="B8" s="37" t="s">
        <v>110</v>
      </c>
      <c r="C8" s="38" t="s">
        <v>111</v>
      </c>
      <c r="D8" s="39" t="str">
        <f aca="false">IF(COUNTIF(렌트롤!T13:T37,"만료*")&gt;COUNTIF(렌트롤!N13:N37,"임대중")/2,"발행 차단","통과")</f>
        <v>발행 차단</v>
      </c>
      <c r="E8" s="40" t="s">
        <v>112</v>
      </c>
    </row>
    <row r="9" customFormat="false" ht="25.5" hidden="false" customHeight="true" outlineLevel="0" collapsed="false">
      <c r="B9" s="37" t="s">
        <v>113</v>
      </c>
      <c r="C9" s="42" t="s">
        <v>114</v>
      </c>
      <c r="D9" s="39" t="str">
        <f aca="false">COUNTIF(렌트롤!T13:T37,"임박*")&amp;"건"</f>
        <v>0건</v>
      </c>
      <c r="E9" s="40" t="s">
        <v>115</v>
      </c>
    </row>
    <row r="10" customFormat="false" ht="25.5" hidden="false" customHeight="true" outlineLevel="0" collapsed="false">
      <c r="B10" s="37" t="s">
        <v>116</v>
      </c>
      <c r="C10" s="38" t="s">
        <v>117</v>
      </c>
      <c r="D10" s="39" t="str">
        <f aca="false">COUNTIF(렌트롤!S13:S37,"확인 필요")&amp;"건"</f>
        <v>0건</v>
      </c>
      <c r="E10" s="40" t="s">
        <v>118</v>
      </c>
    </row>
    <row r="11" customFormat="false" ht="25.5" hidden="false" customHeight="true" outlineLevel="0" collapsed="false">
      <c r="B11" s="37" t="s">
        <v>119</v>
      </c>
      <c r="C11" s="38" t="s">
        <v>120</v>
      </c>
      <c r="D11" s="39" t="str">
        <f aca="false">COUNTIF(렌트롤!M13:M37,"미확인")&amp;"건"</f>
        <v>0건</v>
      </c>
      <c r="E11" s="40" t="s">
        <v>121</v>
      </c>
    </row>
    <row r="12" customFormat="false" ht="25.5" hidden="false" customHeight="true" outlineLevel="0" collapsed="false">
      <c r="B12" s="37" t="s">
        <v>122</v>
      </c>
      <c r="C12" s="38" t="s">
        <v>123</v>
      </c>
      <c r="D12" s="39" t="str">
        <f aca="false">COUNTBLANK(렌트롤!D13:D37)&amp;"건"</f>
        <v>24건</v>
      </c>
      <c r="E12" s="40" t="s">
        <v>124</v>
      </c>
    </row>
    <row r="13" customFormat="false" ht="25.5" hidden="false" customHeight="true" outlineLevel="0" collapsed="false">
      <c r="B13" s="37" t="s">
        <v>125</v>
      </c>
      <c r="C13" s="38" t="s">
        <v>126</v>
      </c>
      <c r="D13" s="39" t="str">
        <f aca="false">COUNTIF(렌트롤!R13:R37,"×*")&amp;"건"</f>
        <v>0건</v>
      </c>
      <c r="E13" s="40" t="s">
        <v>127</v>
      </c>
    </row>
    <row r="14" customFormat="false" ht="25.5" hidden="false" customHeight="true" outlineLevel="0" collapsed="false">
      <c r="B14" s="37" t="s">
        <v>128</v>
      </c>
      <c r="C14" s="38" t="s">
        <v>64</v>
      </c>
      <c r="D14" s="39" t="str">
        <f aca="false">IF(렌트롤!$C$5="","미기재",TEXT(렌트롤!$C$5,"yyyy-mm-dd"))</f>
        <v>미기재</v>
      </c>
      <c r="E14" s="40" t="s">
        <v>129</v>
      </c>
    </row>
    <row r="15" customFormat="false" ht="25.5" hidden="false" customHeight="true" outlineLevel="0" collapsed="false">
      <c r="B15" s="37" t="s">
        <v>130</v>
      </c>
      <c r="C15" s="38" t="s">
        <v>131</v>
      </c>
      <c r="D15" s="39" t="str">
        <f aca="false">COUNTIF(렌트롤!N13:N37,"공실")&amp;"건 / "&amp;COUNTIF(렌트롤!N13:N37,"자가사용")&amp;"건"</f>
        <v>0건 / 0건</v>
      </c>
      <c r="E15" s="40" t="s">
        <v>132</v>
      </c>
    </row>
    <row r="17" customFormat="false" ht="16.15" hidden="false" customHeight="false" outlineLevel="0" collapsed="false">
      <c r="B17" s="43" t="s">
        <v>133</v>
      </c>
      <c r="C17" s="43"/>
      <c r="D17" s="43"/>
      <c r="E17" s="43"/>
    </row>
    <row r="18" customFormat="false" ht="15" hidden="false" customHeight="false" outlineLevel="0" collapsed="false">
      <c r="B18" s="36" t="s">
        <v>134</v>
      </c>
      <c r="C18" s="36" t="s">
        <v>135</v>
      </c>
      <c r="D18" s="36" t="s">
        <v>136</v>
      </c>
      <c r="E18" s="36" t="s">
        <v>137</v>
      </c>
    </row>
    <row r="19" customFormat="false" ht="27.75" hidden="false" customHeight="true" outlineLevel="0" collapsed="false">
      <c r="B19" s="44" t="s">
        <v>138</v>
      </c>
      <c r="C19" s="45" t="s">
        <v>139</v>
      </c>
      <c r="D19" s="39" t="str">
        <f aca="false">IF(AND(COUNTIFS(렌트롤!N13:N37,"임대중",렌트롤!D13:D37,"&lt;&gt;")=COUNTIF(렌트롤!N13:N37,"임대중"),COUNTIFS(렌트롤!N13:N37,"임대중",렌트롤!K13:K37,"&lt;&gt;")=COUNTIF(렌트롤!N13:N37,"임대중"),COUNTA(렌트롤!N13:N37)=COUNTA(렌트롤!A13:A37)),"충족","미달")</f>
        <v>충족</v>
      </c>
      <c r="E19" s="40" t="s">
        <v>140</v>
      </c>
    </row>
    <row r="20" customFormat="false" ht="27.75" hidden="false" customHeight="true" outlineLevel="0" collapsed="false">
      <c r="B20" s="44" t="s">
        <v>141</v>
      </c>
      <c r="C20" s="46" t="s">
        <v>142</v>
      </c>
      <c r="D20" s="39" t="str">
        <f aca="false">IF(AND(AND(COUNTIFS(렌트롤!N13:N37,"임대중",렌트롤!D13:D37,"&lt;&gt;")=COUNTIF(렌트롤!N13:N37,"임대중"),COUNTIFS(렌트롤!N13:N37,"임대중",렌트롤!K13:K37,"&lt;&gt;")=COUNTIF(렌트롤!N13:N37,"임대중"),COUNTA(렌트롤!N13:N37)=COUNTA(렌트롤!A13:A37)),COUNTA(렌트롤!C13:C37)=COUNTA(렌트롤!A13:A37),COUNTA(렌트롤!E13:E37)=COUNTA(렌트롤!A13:A37),COUNTIFS(렌트롤!N13:N37,"임대중",렌트롤!H13:H37,"&lt;&gt;")=COUNTIF(렌트롤!N13:N37,"임대중")),"충족","미달")</f>
        <v>충족</v>
      </c>
      <c r="E20" s="40" t="s">
        <v>143</v>
      </c>
    </row>
    <row r="21" customFormat="false" ht="27.75" hidden="false" customHeight="true" outlineLevel="0" collapsed="false">
      <c r="B21" s="44" t="s">
        <v>144</v>
      </c>
      <c r="C21" s="46" t="s">
        <v>145</v>
      </c>
      <c r="D21" s="39" t="str">
        <f aca="false">IF(AND(AND(AND(COUNTIFS(렌트롤!N13:N37,"임대중",렌트롤!D13:D37,"&lt;&gt;")=COUNTIF(렌트롤!N13:N37,"임대중"),COUNTIFS(렌트롤!N13:N37,"임대중",렌트롤!K13:K37,"&lt;&gt;")=COUNTIF(렌트롤!N13:N37,"임대중"),COUNTA(렌트롤!N13:N37)=COUNTA(렌트롤!A13:A37)),COUNTA(렌트롤!C13:C37)=COUNTA(렌트롤!A13:A37),COUNTA(렌트롤!E13:E37)=COUNTA(렌트롤!A13:A37),COUNTIFS(렌트롤!N13:N37,"임대중",렌트롤!H13:H37,"&lt;&gt;")=COUNTIF(렌트롤!N13:N37,"임대중")),COUNTIFS(렌트롤!N13:N37,"임대중",렌트롤!I13:I37,"&lt;&gt;")=COUNTIF(렌트롤!N13:N37,"임대중"),COUNTIFS(렌트롤!N13:N37,"임대중",렌트롤!M13:M37,"미확인")=0),"충족","미달")</f>
        <v>충족</v>
      </c>
      <c r="E21" s="40" t="s">
        <v>146</v>
      </c>
    </row>
    <row r="23" customFormat="false" ht="21.6" hidden="false" customHeight="false" outlineLevel="0" collapsed="false">
      <c r="B23" s="47" t="s">
        <v>147</v>
      </c>
      <c r="C23" s="48" t="str">
        <f aca="false">IF(AND(AND(AND(COUNTIFS(렌트롤!N13:N37,"임대중",렌트롤!D13:D37,"&lt;&gt;")=COUNTIF(렌트롤!N13:N37,"임대중"),COUNTIFS(렌트롤!N13:N37,"임대중",렌트롤!K13:K37,"&lt;&gt;")=COUNTIF(렌트롤!N13:N37,"임대중"),COUNTA(렌트롤!N13:N37)=COUNTA(렌트롤!A13:A37)),COUNTA(렌트롤!C13:C37)=COUNTA(렌트롤!A13:A37),COUNTA(렌트롤!E13:E37)=COUNTA(렌트롤!A13:A37),COUNTIFS(렌트롤!N13:N37,"임대중",렌트롤!H13:H37,"&lt;&gt;")=COUNTIF(렌트롤!N13:N37,"임대중")),COUNTIFS(렌트롤!N13:N37,"임대중",렌트롤!I13:I37,"&lt;&gt;")=COUNTIF(렌트롤!N13:N37,"임대중"),COUNTIFS(렌트롤!N13:N37,"임대중",렌트롤!M13:M37,"미확인")=0),"R3 표준형",IF(AND(AND(COUNTIFS(렌트롤!N13:N37,"임대중",렌트롤!D13:D37,"&lt;&gt;")=COUNTIF(렌트롤!N13:N37,"임대중"),COUNTIFS(렌트롤!N13:N37,"임대중",렌트롤!K13:K37,"&lt;&gt;")=COUNTIF(렌트롤!N13:N37,"임대중"),COUNTA(렌트롤!N13:N37)=COUNTA(렌트롤!A13:A37)),COUNTA(렌트롤!C13:C37)=COUNTA(렌트롤!A13:A37),COUNTA(렌트롤!E13:E37)=COUNTA(렌트롤!A13:A37),COUNTIFS(렌트롤!N13:N37,"임대중",렌트롤!H13:H37,"&lt;&gt;")=COUNTIF(렌트롤!N13:N37,"임대중")),"R2 필요형",IF(AND(COUNTIFS(렌트롤!N13:N37,"임대중",렌트롤!D13:D37,"&lt;&gt;")=COUNTIF(렌트롤!N13:N37,"임대중"),COUNTIFS(렌트롤!N13:N37,"임대중",렌트롤!K13:K37,"&lt;&gt;")=COUNTIF(렌트롤!N13:N37,"임대중"),COUNTA(렌트롤!N13:N37)=COUNTA(렌트롤!A13:A37)),"R1 최소형","R0 미달")))</f>
        <v>R3 표준형</v>
      </c>
    </row>
    <row r="24" customFormat="false" ht="31.5" hidden="false" customHeight="true" outlineLevel="0" collapsed="false">
      <c r="B24" s="47" t="s">
        <v>148</v>
      </c>
      <c r="C24" s="49" t="str">
        <f aca="false">IF(AND(AND(AND(COUNTIFS(렌트롤!N13:N37,"임대중",렌트롤!D13:D37,"&lt;&gt;")=COUNTIF(렌트롤!N13:N37,"임대중"),COUNTIFS(렌트롤!N13:N37,"임대중",렌트롤!K13:K37,"&lt;&gt;")=COUNTIF(렌트롤!N13:N37,"임대중"),COUNTA(렌트롤!N13:N37)=COUNTA(렌트롤!A13:A37)),COUNTA(렌트롤!C13:C37)=COUNTA(렌트롤!A13:A37),COUNTA(렌트롤!E13:E37)=COUNTA(렌트롤!A13:A37),COUNTIFS(렌트롤!N13:N37,"임대중",렌트롤!H13:H37,"&lt;&gt;")=COUNTIF(렌트롤!N13:N37,"임대중")),COUNTIFS(렌트롤!N13:N37,"임대중",렌트롤!I13:I37,"&lt;&gt;")=COUNTIF(렌트롤!N13:N37,"임대중"),COUNTIFS(렌트롤!N13:N37,"임대중",렌트롤!M13:M37,"미확인")=0),"완료 — 모든 기능 사용 가능",IF(AND(AND(COUNTIFS(렌트롤!N13:N37,"임대중",렌트롤!D13:D37,"&lt;&gt;")=COUNTIF(렌트롤!N13:N37,"임대중"),COUNTIFS(렌트롤!N13:N37,"임대중",렌트롤!K13:K37,"&lt;&gt;")=COUNTIF(렌트롤!N13:N37,"임대중"),COUNTA(렌트롤!N13:N37)=COUNTA(렌트롤!A13:A37)),COUNTA(렌트롤!C13:C37)=COUNTA(렌트롤!A13:A37),COUNTA(렌트롤!E13:E37)=COUNTA(렌트롤!A13:A37),COUNTIFS(렌트롤!N13:N37,"임대중",렌트롤!H13:H37,"&lt;&gt;")=COUNTIF(렌트롤!N13:N37,"임대중")),"「최초 계약일」과 「대항력 요건」을 채우면 갱신요구권·명도 계획이 열립니다",IF(AND(COUNTIFS(렌트롤!N13:N37,"임대중",렌트롤!D13:D37,"&lt;&gt;")=COUNTIF(렌트롤!N13:N37,"임대중"),COUNTIFS(렌트롤!N13:N37,"임대중",렌트롤!K13:K37,"&lt;&gt;")=COUNTIF(렌트롤!N13:N37,"임대중"),COUNTA(렌트롤!N13:N37)=COUNTA(렌트롤!A13:A37)),"「적용법령」을 채우면 환산보증금·상임법 판정이 열립니다. 「임대면적」은 평당 단가를 엽니다","「업종」과 「현 계약 만료일」부터 채우세요. 렌트롤 표를 그릴 수 없습니다")))</f>
        <v>완료 — 모든 기능 사용 가능</v>
      </c>
      <c r="D24" s="49"/>
      <c r="E24" s="49"/>
    </row>
  </sheetData>
  <mergeCells count="3">
    <mergeCell ref="B2:E2"/>
    <mergeCell ref="B17:E17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2026-08-23T05:03:01Z</dcterms:created>
  <dc:creator>openpyxl</dc:creator>
  <dc:description/>
  <dc:language>en-US</dc:language>
  <cp:lastModifiedBy/>
  <dcterms:modified xsi:type="dcterms:W3CDTF">2026-08-23T05:03:01Z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