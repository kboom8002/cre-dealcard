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입요령" sheetId="1" state="visible" r:id="rId3"/>
    <sheet name="렌트롤" sheetId="2" state="visible" r:id="rId4"/>
    <sheet name="임대료현실화" sheetId="3" state="visible" r:id="rId5"/>
    <sheet name="자동검증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<sst xmlns="http://schemas.openxmlformats.org/spreadsheetml/2006/main" count="339" uniqueCount="192">
  <si>
    <r>
      <rPr>
        <b val="true"/>
        <sz val="14"/>
        <color rgb="FF1F3864"/>
        <rFont val="Arial"/>
        <family val="0"/>
        <charset val="1"/>
      </rPr>
      <t xml:space="preserve">CREDEAL </t>
    </r>
    <r>
      <rPr>
        <b val="true"/>
        <sz val="14"/>
        <color rgb="FF1F3864"/>
        <rFont val="Noto Sans CJK SC"/>
        <family val="2"/>
      </rPr>
      <t xml:space="preserve">렌트롤 표준 양식 </t>
    </r>
    <r>
      <rPr>
        <b val="true"/>
        <sz val="14"/>
        <color rgb="FF1F3864"/>
        <rFont val="Arial"/>
        <family val="0"/>
        <charset val="1"/>
      </rPr>
      <t xml:space="preserve">v1.2 — </t>
    </r>
    <r>
      <rPr>
        <b val="true"/>
        <sz val="14"/>
        <color rgb="FF1F3864"/>
        <rFont val="Noto Sans CJK SC"/>
        <family val="2"/>
      </rPr>
      <t xml:space="preserve">기입요령</t>
    </r>
  </si>
  <si>
    <r>
      <rPr>
        <i val="true"/>
        <sz val="10"/>
        <rFont val="Noto Sans CJK SC"/>
        <family val="2"/>
      </rPr>
      <t xml:space="preserve">모바일 </t>
    </r>
    <r>
      <rPr>
        <i val="true"/>
        <sz val="10"/>
        <rFont val="Arial"/>
        <family val="0"/>
        <charset val="1"/>
      </rPr>
      <t xml:space="preserve">IM </t>
    </r>
    <r>
      <rPr>
        <i val="true"/>
        <sz val="10"/>
        <rFont val="Noto Sans CJK SC"/>
        <family val="2"/>
      </rPr>
      <t xml:space="preserve">업로드용 표준 양식입니다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「렌트롤」 시트의 노란색 셀만 입력하세요</t>
    </r>
    <r>
      <rPr>
        <i val="true"/>
        <sz val="10"/>
        <rFont val="Arial"/>
        <family val="0"/>
        <charset val="1"/>
      </rPr>
      <t xml:space="preserve">.</t>
    </r>
  </si>
  <si>
    <t xml:space="preserve">색상 규칙</t>
  </si>
  <si>
    <t xml:space="preserve">노란색</t>
  </si>
  <si>
    <t xml:space="preserve">입력 셀 — 여기만 채웁니다</t>
  </si>
  <si>
    <t xml:space="preserve">회색</t>
  </si>
  <si>
    <t xml:space="preserve">자동계산 — 수식이 들어 있으니 건드리지 마세요</t>
  </si>
  <si>
    <t xml:space="preserve">분홍색</t>
  </si>
  <si>
    <t xml:space="preserve">경고 — 비면 판정이 보류되는 항목</t>
  </si>
  <si>
    <t xml:space="preserve">반드시 채워야 하는 항목</t>
  </si>
  <si>
    <r>
      <rPr>
        <b val="true"/>
        <sz val="10"/>
        <rFont val="Noto Sans CJK SC"/>
        <family val="2"/>
      </rPr>
      <t xml:space="preserve">호실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</si>
  <si>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원본 표기 그대로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9F(1)</t>
    </r>
    <r>
      <rPr>
        <sz val="10"/>
        <rFont val="Noto Sans CJK SC"/>
        <family val="2"/>
      </rPr>
      <t xml:space="preserve">」처럼 한 층에 둘이면 행을 나눠 적습니다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</si>
  <si>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업종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상호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</si>
  <si>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⚠ 계약서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렌트롤에 적힌 문구를 그대로 옮깁니다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「사무실」이면 「사무실」입니다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업종을 추측해 바꾸지 마세요</t>
    </r>
    <r>
      <rPr>
        <sz val="10"/>
        <rFont val="Arial"/>
        <family val="0"/>
        <charset val="1"/>
      </rPr>
      <t xml:space="preserve">.</t>
    </r>
  </si>
  <si>
    <t xml:space="preserve">적용법령</t>
  </si>
  <si>
    <r>
      <rPr>
        <sz val="10"/>
        <rFont val="Noto Sans CJK SC"/>
        <family val="2"/>
      </rPr>
      <t xml:space="preserve">상가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주거로 쓰는 오피스텔은 「주택」입니다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값에 따라 갱신요구권 계산이 완전히 달라집니다</t>
    </r>
    <r>
      <rPr>
        <sz val="10"/>
        <rFont val="Arial"/>
        <family val="0"/>
        <charset val="1"/>
      </rPr>
      <t xml:space="preserve">.</t>
    </r>
  </si>
  <si>
    <t xml:space="preserve">임대상태</t>
  </si>
  <si>
    <r>
      <rPr>
        <sz val="10"/>
        <rFont val="Noto Sans CJK SC"/>
        <family val="2"/>
      </rPr>
      <t xml:space="preserve">임대중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공실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자가사용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소유자가 직접 쓰는 층은 「자가사용」입니다 — 공실이 아니지만 임대수입도 없습니다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</si>
  <si>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보증금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월세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관리비</t>
    </r>
  </si>
  <si>
    <r>
      <rPr>
        <sz val="10"/>
        <rFont val="Noto Sans CJK SC"/>
        <family val="2"/>
      </rPr>
      <t xml:space="preserve">원 단위 숫자만</t>
    </r>
    <r>
      <rPr>
        <sz val="10"/>
        <rFont val="Arial"/>
        <family val="0"/>
        <charset val="1"/>
      </rPr>
      <t xml:space="preserve">. VAT </t>
    </r>
    <r>
      <rPr>
        <sz val="10"/>
        <rFont val="Noto Sans CJK SC"/>
        <family val="2"/>
      </rPr>
      <t xml:space="preserve">별도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만」처럼 적지 마세요</t>
    </r>
    <r>
      <rPr>
        <sz val="10"/>
        <rFont val="Arial"/>
        <family val="0"/>
        <charset val="1"/>
      </rPr>
      <t xml:space="preserve">.</t>
    </r>
  </si>
  <si>
    <t xml:space="preserve">현 계약 만료일</t>
  </si>
  <si>
    <r>
      <rPr>
        <sz val="10"/>
        <rFont val="Noto Sans CJK SC"/>
        <family val="2"/>
      </rPr>
      <t xml:space="preserve">명도 시점 산출의 기준입니다</t>
    </r>
    <r>
      <rPr>
        <sz val="10"/>
        <rFont val="Arial"/>
        <family val="0"/>
        <charset val="1"/>
      </rPr>
      <t xml:space="preserve">.</t>
    </r>
  </si>
  <si>
    <t xml:space="preserve">비면 판정이 보류되는 항목</t>
  </si>
  <si>
    <t xml:space="preserve">최초 계약일</t>
  </si>
  <si>
    <r>
      <rPr>
        <sz val="10"/>
        <rFont val="Noto Sans CJK SC"/>
        <family val="2"/>
      </rPr>
      <t xml:space="preserve">이 임차인이 처음 입주한 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 계약 시작일과 다릅니다</t>
    </r>
    <r>
      <rPr>
        <sz val="10"/>
        <rFont val="Arial"/>
        <family val="0"/>
        <charset val="1"/>
      </rPr>
      <t xml:space="preserve">. ★ </t>
    </r>
    <r>
      <rPr>
        <sz val="10"/>
        <rFont val="Noto Sans CJK SC"/>
        <family val="2"/>
      </rPr>
      <t xml:space="preserve">상가 갱신요구권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년은 이 날짜로 기산합니다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비면 「확인 필요」로 출력됩니다</t>
    </r>
    <r>
      <rPr>
        <sz val="10"/>
        <rFont val="Arial"/>
        <family val="0"/>
        <charset val="1"/>
      </rPr>
      <t xml:space="preserve">.</t>
    </r>
  </si>
  <si>
    <t xml:space="preserve">갱신요구권 행사</t>
  </si>
  <si>
    <r>
      <rPr>
        <sz val="10"/>
        <rFont val="Noto Sans CJK SC"/>
        <family val="2"/>
      </rPr>
      <t xml:space="preserve">있음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모름</t>
    </r>
    <r>
      <rPr>
        <sz val="10"/>
        <rFont val="Arial"/>
        <family val="0"/>
        <charset val="1"/>
      </rPr>
      <t xml:space="preserve">. ★ </t>
    </r>
    <r>
      <rPr>
        <sz val="10"/>
        <rFont val="Noto Sans CJK SC"/>
        <family val="2"/>
      </rPr>
      <t xml:space="preserve">주택은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한정이라 이 값 없이는 계산할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묵시적 갱신은 「없음」입니다 — 갱신요구권을 쓴 것이 아닙니다</t>
    </r>
    <r>
      <rPr>
        <sz val="10"/>
        <rFont val="Arial"/>
        <family val="0"/>
        <charset val="1"/>
      </rPr>
      <t xml:space="preserve">.</t>
    </r>
  </si>
  <si>
    <t xml:space="preserve">대항력 요건</t>
  </si>
  <si>
    <r>
      <rPr>
        <sz val="10"/>
        <rFont val="Noto Sans CJK SC"/>
        <family val="2"/>
      </rPr>
      <t xml:space="preserve">사업자등록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주민등록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근거 없이 「없음」으로 적으면 발행이 막힙니다</t>
    </r>
    <r>
      <rPr>
        <sz val="10"/>
        <rFont val="Arial"/>
        <family val="0"/>
        <charset val="1"/>
      </rPr>
      <t xml:space="preserve">.</t>
    </r>
  </si>
  <si>
    <t xml:space="preserve">계약그룹 — 한 임차인이 여러 층을 쓸 때</t>
  </si>
  <si>
    <t xml:space="preserve">쓰는 법</t>
  </si>
  <si>
    <r>
      <rPr>
        <sz val="10"/>
        <rFont val="Noto Sans CJK SC"/>
        <family val="2"/>
      </rPr>
      <t xml:space="preserve">같은 계약이면 같은 이름을 적습니다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1F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2F</t>
    </r>
    <r>
      <rPr>
        <sz val="10"/>
        <rFont val="Noto Sans CJK SC"/>
        <family val="2"/>
      </rPr>
      <t xml:space="preserve">가 한 계약이면 둘 다 「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.</t>
    </r>
  </si>
  <si>
    <t xml:space="preserve">금액 기입</t>
  </si>
  <si>
    <r>
      <rPr>
        <sz val="10"/>
        <rFont val="Noto Sans CJK SC"/>
        <family val="2"/>
      </rPr>
      <t xml:space="preserve">대표 행에만 보증금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월세를 적고 나머지는 비웁니다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면적은 각 행에 적습니다</t>
    </r>
    <r>
      <rPr>
        <sz val="10"/>
        <rFont val="Arial"/>
        <family val="0"/>
        <charset val="1"/>
      </rPr>
      <t xml:space="preserve">.</t>
    </r>
  </si>
  <si>
    <t xml:space="preserve">환산보증금</t>
  </si>
  <si>
    <r>
      <rPr>
        <sz val="10"/>
        <rFont val="Noto Sans CJK SC"/>
        <family val="2"/>
      </rPr>
      <t xml:space="preserve">금액이 있는 대표 행에서만 계산됩니다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층별로 쪼개지 않습니다</t>
    </r>
    <r>
      <rPr>
        <sz val="10"/>
        <rFont val="Arial"/>
        <family val="0"/>
        <charset val="1"/>
      </rPr>
      <t xml:space="preserve">.</t>
    </r>
  </si>
  <si>
    <t xml:space="preserve">자주 나는 실수</t>
  </si>
  <si>
    <t xml:space="preserve">업종 추측</t>
  </si>
  <si>
    <r>
      <rPr>
        <sz val="10"/>
        <rFont val="Noto Sans CJK SC"/>
        <family val="2"/>
      </rPr>
      <t xml:space="preserve">「사무실」을 「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스타트업」으로 바꿔 적는 경우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 있었던 오류입니다</t>
    </r>
    <r>
      <rPr>
        <sz val="10"/>
        <rFont val="Arial"/>
        <family val="0"/>
        <charset val="1"/>
      </rPr>
      <t xml:space="preserve">.</t>
    </r>
  </si>
  <si>
    <t xml:space="preserve">경과년수로 갱신권 역산</t>
  </si>
  <si>
    <r>
      <rPr>
        <sz val="10"/>
        <rFont val="Noto Sans CJK SC"/>
        <family val="2"/>
      </rPr>
      <t xml:space="preserve">주택은 최초계약일로 계산할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행사 이력이 있어야 합니다</t>
    </r>
    <r>
      <rPr>
        <sz val="10"/>
        <rFont val="Arial"/>
        <family val="0"/>
        <charset val="1"/>
      </rPr>
      <t xml:space="preserve">.</t>
    </r>
  </si>
  <si>
    <t xml:space="preserve">계 행을 손으로 입력</t>
  </si>
  <si>
    <r>
      <rPr>
        <sz val="10"/>
        <rFont val="Noto Sans CJK SC"/>
        <family val="2"/>
      </rPr>
      <t xml:space="preserve">합계는 자동입니다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손으로 적으면 각 행 합과 어긋납니다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 있었던 오류입니다</t>
    </r>
    <r>
      <rPr>
        <sz val="10"/>
        <rFont val="Arial"/>
        <family val="0"/>
        <charset val="1"/>
      </rPr>
      <t xml:space="preserve">.</t>
    </r>
  </si>
  <si>
    <t xml:space="preserve">자가사용을 공실로</t>
  </si>
  <si>
    <r>
      <rPr>
        <sz val="10"/>
        <rFont val="Noto Sans CJK SC"/>
        <family val="2"/>
      </rPr>
      <t xml:space="preserve">자가사용은 임대 전환 여력이지 공실 손실이 아닙니다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구분해 적으세요</t>
    </r>
    <r>
      <rPr>
        <sz val="10"/>
        <rFont val="Arial"/>
        <family val="0"/>
        <charset val="1"/>
      </rPr>
      <t xml:space="preserve">.</t>
    </r>
  </si>
  <si>
    <t xml:space="preserve">환산보증금 직접 계산</t>
  </si>
  <si>
    <r>
      <rPr>
        <sz val="10"/>
        <rFont val="Noto Sans CJK SC"/>
        <family val="2"/>
      </rPr>
      <t xml:space="preserve">자동입니다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주택에는 이 개념이 없습니다</t>
    </r>
    <r>
      <rPr>
        <sz val="10"/>
        <rFont val="Arial"/>
        <family val="0"/>
        <charset val="1"/>
      </rPr>
      <t xml:space="preserve">.</t>
    </r>
  </si>
  <si>
    <t xml:space="preserve">자동 계산</t>
  </si>
  <si>
    <r>
      <rPr>
        <b val="true"/>
        <sz val="10"/>
        <rFont val="Noto Sans CJK SC"/>
        <family val="2"/>
      </rPr>
      <t xml:space="preserve">임대면적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평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</si>
  <si>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㎡ </t>
    </r>
    <r>
      <rPr>
        <sz val="10"/>
        <rFont val="Arial"/>
        <family val="0"/>
        <charset val="1"/>
      </rPr>
      <t xml:space="preserve">÷ 3.305785</t>
    </r>
  </si>
  <si>
    <r>
      <rPr>
        <sz val="10"/>
        <rFont val="Noto Sans CJK SC"/>
        <family val="2"/>
      </rPr>
      <t xml:space="preserve">보증금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월세</t>
    </r>
    <r>
      <rPr>
        <sz val="10"/>
        <rFont val="Arial"/>
        <family val="0"/>
        <charset val="1"/>
      </rPr>
      <t xml:space="preserve">×100. </t>
    </r>
    <r>
      <rPr>
        <sz val="10"/>
        <rFont val="Noto Sans CJK SC"/>
        <family val="2"/>
      </rPr>
      <t xml:space="preserve">상가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임대중인 대표 행만</t>
    </r>
    <r>
      <rPr>
        <sz val="10"/>
        <rFont val="Arial"/>
        <family val="0"/>
        <charset val="1"/>
      </rPr>
      <t xml:space="preserve">.</t>
    </r>
  </si>
  <si>
    <t xml:space="preserve">상임법 전면적용</t>
  </si>
  <si>
    <r>
      <rPr>
        <sz val="10"/>
        <rFont val="Noto Sans CJK SC"/>
        <family val="2"/>
      </rPr>
      <t xml:space="preserve">환산보증금이 지역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이하이면 ○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초과하면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인상상한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우선변제권이 적용되지 않습니다</t>
    </r>
    <r>
      <rPr>
        <sz val="10"/>
        <rFont val="Arial"/>
        <family val="0"/>
        <charset val="1"/>
      </rPr>
      <t xml:space="preserve">.</t>
    </r>
  </si>
  <si>
    <t xml:space="preserve">갱신권 잔여</t>
  </si>
  <si>
    <r>
      <rPr>
        <sz val="10"/>
        <rFont val="Noto Sans CJK SC"/>
        <family val="2"/>
      </rPr>
      <t xml:space="preserve">상가 </t>
    </r>
    <r>
      <rPr>
        <sz val="10"/>
        <rFont val="Arial"/>
        <family val="0"/>
        <charset val="1"/>
      </rPr>
      <t xml:space="preserve">= 10</t>
    </r>
    <r>
      <rPr>
        <sz val="10"/>
        <rFont val="Noto Sans CJK SC"/>
        <family val="2"/>
      </rPr>
      <t xml:space="preserve">년 − 최초계약일 경과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행사 이력에 따라 판정</t>
    </r>
    <r>
      <rPr>
        <sz val="10"/>
        <rFont val="Arial"/>
        <family val="0"/>
        <charset val="1"/>
      </rPr>
      <t xml:space="preserve">.</t>
    </r>
  </si>
  <si>
    <t xml:space="preserve">계약 상태</t>
  </si>
  <si>
    <r>
      <rPr>
        <sz val="10"/>
        <rFont val="Noto Sans CJK SC"/>
        <family val="2"/>
      </rPr>
      <t xml:space="preserve">평가 기준일과 만료일 비교</t>
    </r>
    <r>
      <rPr>
        <sz val="10"/>
        <rFont val="Arial"/>
        <family val="0"/>
        <charset val="1"/>
      </rPr>
      <t xml:space="preserve">. 30</t>
    </r>
    <r>
      <rPr>
        <sz val="10"/>
        <rFont val="Noto Sans CJK SC"/>
        <family val="2"/>
      </rPr>
      <t xml:space="preserve">일 이내면 「임박」</t>
    </r>
    <r>
      <rPr>
        <sz val="10"/>
        <rFont val="Arial"/>
        <family val="0"/>
        <charset val="1"/>
      </rPr>
      <t xml:space="preserve">.</t>
    </r>
  </si>
  <si>
    <t xml:space="preserve">월 총수입</t>
  </si>
  <si>
    <r>
      <rPr>
        <sz val="10"/>
        <rFont val="Noto Sans CJK SC"/>
        <family val="2"/>
      </rPr>
      <t xml:space="preserve">월세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관리비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자가사용은 </t>
    </r>
    <r>
      <rPr>
        <sz val="10"/>
        <rFont val="Arial"/>
        <family val="0"/>
        <charset val="1"/>
      </rPr>
      <t xml:space="preserve">0.</t>
    </r>
  </si>
  <si>
    <r>
      <rPr>
        <b val="true"/>
        <sz val="15"/>
        <color rgb="FF1F3864"/>
        <rFont val="Arial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</rPr>
      <t xml:space="preserve">렌트롤 — 당산동</t>
    </r>
    <r>
      <rPr>
        <b val="true"/>
        <sz val="15"/>
        <color rgb="FF1F3864"/>
        <rFont val="Arial"/>
        <family val="0"/>
        <charset val="1"/>
      </rPr>
      <t xml:space="preserve">5</t>
    </r>
    <r>
      <rPr>
        <b val="true"/>
        <sz val="15"/>
        <color rgb="FF1F3864"/>
        <rFont val="Noto Sans CJK SC"/>
        <family val="2"/>
      </rPr>
      <t xml:space="preserve">가 </t>
    </r>
    <r>
      <rPr>
        <b val="true"/>
        <sz val="15"/>
        <color rgb="FF1F3864"/>
        <rFont val="Arial"/>
        <family val="0"/>
        <charset val="1"/>
      </rPr>
      <t xml:space="preserve">11-47 (</t>
    </r>
    <r>
      <rPr>
        <b val="true"/>
        <sz val="15"/>
        <color rgb="FF1F3864"/>
        <rFont val="Noto Sans CJK SC"/>
        <family val="2"/>
      </rPr>
      <t xml:space="preserve">실측</t>
    </r>
    <r>
      <rPr>
        <b val="true"/>
        <sz val="15"/>
        <color rgb="FF1F3864"/>
        <rFont val="Arial"/>
        <family val="0"/>
        <charset val="1"/>
      </rPr>
      <t xml:space="preserve">)</t>
    </r>
  </si>
  <si>
    <t xml:space="preserve">물건명</t>
  </si>
  <si>
    <r>
      <rPr>
        <sz val="10"/>
        <rFont val="Noto Sans CJK SC"/>
        <family val="2"/>
      </rPr>
      <t xml:space="preserve">당산동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11-47 </t>
    </r>
    <r>
      <rPr>
        <sz val="10"/>
        <rFont val="Noto Sans CJK SC"/>
        <family val="2"/>
      </rPr>
      <t xml:space="preserve">근생빌딩</t>
    </r>
  </si>
  <si>
    <t xml:space="preserve">⚠ 렌트롤 기준일이 비면 신선도 판정을 할 수 없습니다</t>
  </si>
  <si>
    <t xml:space="preserve">소재지</t>
  </si>
  <si>
    <r>
      <rPr>
        <sz val="10"/>
        <rFont val="Noto Sans CJK SC"/>
        <family val="2"/>
      </rPr>
      <t xml:space="preserve">서울특별시 영등포구 당산동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11-47</t>
    </r>
  </si>
  <si>
    <r>
      <rPr>
        <i val="true"/>
        <sz val="9"/>
        <color rgb="FF555555"/>
        <rFont val="Noto Sans CJK SC"/>
        <family val="2"/>
      </rPr>
      <t xml:space="preserve">※ 환산보증금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Noto Sans CJK SC"/>
        <family val="2"/>
      </rPr>
      <t xml:space="preserve">서울 </t>
    </r>
    <r>
      <rPr>
        <i val="true"/>
        <sz val="9"/>
        <color rgb="FF555555"/>
        <rFont val="Arial"/>
        <family val="0"/>
        <charset val="1"/>
      </rPr>
      <t xml:space="preserve">9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과밀억제권역 </t>
    </r>
    <r>
      <rPr>
        <i val="true"/>
        <sz val="9"/>
        <color rgb="FF555555"/>
        <rFont val="Arial"/>
        <family val="0"/>
        <charset val="1"/>
      </rPr>
      <t xml:space="preserve">6.9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광역시 </t>
    </r>
    <r>
      <rPr>
        <i val="true"/>
        <sz val="9"/>
        <color rgb="FF555555"/>
        <rFont val="Arial"/>
        <family val="0"/>
        <charset val="1"/>
      </rPr>
      <t xml:space="preserve">5.4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그 밖 </t>
    </r>
    <r>
      <rPr>
        <i val="true"/>
        <sz val="9"/>
        <color rgb="FF555555"/>
        <rFont val="Arial"/>
        <family val="0"/>
        <charset val="1"/>
      </rPr>
      <t xml:space="preserve">3.7</t>
    </r>
    <r>
      <rPr>
        <i val="true"/>
        <sz val="9"/>
        <color rgb="FF555555"/>
        <rFont val="Noto Sans CJK SC"/>
        <family val="2"/>
      </rPr>
      <t xml:space="preserve">억</t>
    </r>
  </si>
  <si>
    <t xml:space="preserve">렌트롤 기준일</t>
  </si>
  <si>
    <t xml:space="preserve">평가 기준일</t>
  </si>
  <si>
    <r>
      <rPr>
        <b val="true"/>
        <sz val="10"/>
        <rFont val="Noto Sans CJK SC"/>
        <family val="2"/>
      </rPr>
      <t xml:space="preserve">환산보증금 지역기준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</si>
  <si>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t xml:space="preserve">작성자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</si>
  <si>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IM p6 </t>
    </r>
    <r>
      <rPr>
        <sz val="10"/>
        <rFont val="Noto Sans CJK SC"/>
        <family val="2"/>
      </rPr>
      <t xml:space="preserve">판독</t>
    </r>
    <r>
      <rPr>
        <sz val="10"/>
        <rFont val="Arial"/>
        <family val="0"/>
        <charset val="1"/>
      </rPr>
      <t xml:space="preserve">)</t>
    </r>
  </si>
  <si>
    <t xml:space="preserve">작성일</t>
  </si>
  <si>
    <t xml:space="preserve">해상도</t>
  </si>
  <si>
    <t xml:space="preserve">R2</t>
  </si>
  <si>
    <t xml:space="preserve">R1</t>
  </si>
  <si>
    <t xml:space="preserve">R3</t>
  </si>
  <si>
    <t xml:space="preserve">—</t>
  </si>
  <si>
    <r>
      <rPr>
        <b val="true"/>
        <sz val="9"/>
        <color rgb="FFFFFFFF"/>
        <rFont val="Noto Sans CJK SC"/>
        <family val="2"/>
      </rPr>
      <t xml:space="preserve">호실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층</t>
    </r>
  </si>
  <si>
    <t xml:space="preserve">계약그룹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</si>
  <si>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</si>
  <si>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업종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상호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원문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</si>
  <si>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</si>
  <si>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,VAT</t>
    </r>
    <r>
      <rPr>
        <b val="true"/>
        <sz val="9"/>
        <color rgb="FFFFFFFF"/>
        <rFont val="Noto Sans CJK SC"/>
        <family val="2"/>
      </rPr>
      <t xml:space="preserve">별도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</si>
  <si>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관리비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,VAT</t>
    </r>
    <r>
      <rPr>
        <b val="true"/>
        <sz val="9"/>
        <color rgb="FFFFFFFF"/>
        <rFont val="Noto Sans CJK SC"/>
        <family val="2"/>
      </rPr>
      <t xml:space="preserve">별도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</si>
  <si>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현 계약 시작일</t>
  </si>
  <si>
    <t xml:space="preserve">비고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</si>
  <si>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</si>
  <si>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환산보증금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</si>
  <si>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갱신권 잔여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</si>
  <si>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계약 상태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</si>
  <si>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 총수입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</si>
  <si>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B1</t>
  </si>
  <si>
    <t xml:space="preserve">데이르 카페</t>
  </si>
  <si>
    <t xml:space="preserve">미확인</t>
  </si>
  <si>
    <t xml:space="preserve">모름</t>
  </si>
  <si>
    <t xml:space="preserve">자가사용</t>
  </si>
  <si>
    <r>
      <rPr>
        <sz val="9"/>
        <rFont val="Noto Sans CJK SC"/>
        <family val="2"/>
      </rPr>
      <t xml:space="preserve">소유자 직접 운영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임대 전환 대상</t>
    </r>
  </si>
  <si>
    <t xml:space="preserve">1F</t>
  </si>
  <si>
    <t xml:space="preserve">A</t>
  </si>
  <si>
    <t xml:space="preserve">고은약국</t>
  </si>
  <si>
    <t xml:space="preserve">상가</t>
  </si>
  <si>
    <t xml:space="preserve">임대중</t>
  </si>
  <si>
    <r>
      <rPr>
        <sz val="9"/>
        <rFont val="Noto Sans CJK SC"/>
        <family val="2"/>
      </rPr>
      <t xml:space="preserve">비고 </t>
    </r>
    <r>
      <rPr>
        <sz val="9"/>
        <rFont val="Arial"/>
        <family val="0"/>
        <charset val="1"/>
      </rPr>
      <t xml:space="preserve">"</t>
    </r>
    <r>
      <rPr>
        <sz val="9"/>
        <rFont val="Noto Sans CJK SC"/>
        <family val="2"/>
      </rPr>
      <t xml:space="preserve">임대 </t>
    </r>
    <r>
      <rPr>
        <sz val="9"/>
        <rFont val="Arial"/>
        <family val="0"/>
        <charset val="1"/>
      </rPr>
      <t xml:space="preserve">11</t>
    </r>
    <r>
      <rPr>
        <sz val="9"/>
        <rFont val="Noto Sans CJK SC"/>
        <family val="2"/>
      </rPr>
      <t xml:space="preserve">년 경과</t>
    </r>
    <r>
      <rPr>
        <sz val="9"/>
        <rFont val="Arial"/>
        <family val="0"/>
        <charset val="1"/>
      </rPr>
      <t xml:space="preserve">"</t>
    </r>
  </si>
  <si>
    <t xml:space="preserve">B</t>
  </si>
  <si>
    <t xml:space="preserve">로뎀나무내과</t>
  </si>
  <si>
    <r>
      <rPr>
        <sz val="9"/>
        <rFont val="Arial"/>
        <family val="0"/>
        <charset val="1"/>
      </rPr>
      <t xml:space="preserve">1F+2F </t>
    </r>
    <r>
      <rPr>
        <sz val="9"/>
        <rFont val="Noto Sans CJK SC"/>
        <family val="2"/>
      </rPr>
      <t xml:space="preserve">통합계약 </t>
    </r>
    <r>
      <rPr>
        <sz val="9"/>
        <rFont val="Arial"/>
        <family val="0"/>
        <charset val="1"/>
      </rPr>
      <t xml:space="preserve">· "</t>
    </r>
    <r>
      <rPr>
        <sz val="9"/>
        <rFont val="Noto Sans CJK SC"/>
        <family val="2"/>
      </rPr>
      <t xml:space="preserve">임대 </t>
    </r>
    <r>
      <rPr>
        <sz val="9"/>
        <rFont val="Arial"/>
        <family val="0"/>
        <charset val="1"/>
      </rPr>
      <t xml:space="preserve">11</t>
    </r>
    <r>
      <rPr>
        <sz val="9"/>
        <rFont val="Noto Sans CJK SC"/>
        <family val="2"/>
      </rPr>
      <t xml:space="preserve">년 경과</t>
    </r>
    <r>
      <rPr>
        <sz val="9"/>
        <rFont val="Arial"/>
        <family val="0"/>
        <charset val="1"/>
      </rPr>
      <t xml:space="preserve">"</t>
    </r>
  </si>
  <si>
    <t xml:space="preserve">2F</t>
  </si>
  <si>
    <r>
      <rPr>
        <sz val="9"/>
        <rFont val="Arial"/>
        <family val="0"/>
        <charset val="1"/>
      </rPr>
      <t xml:space="preserve">B</t>
    </r>
    <r>
      <rPr>
        <sz val="9"/>
        <rFont val="Noto Sans CJK SC"/>
        <family val="2"/>
      </rPr>
      <t xml:space="preserve">그룹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금액은 </t>
    </r>
    <r>
      <rPr>
        <sz val="9"/>
        <rFont val="Arial"/>
        <family val="0"/>
        <charset val="1"/>
      </rPr>
      <t xml:space="preserve">1F </t>
    </r>
    <r>
      <rPr>
        <sz val="9"/>
        <rFont val="Noto Sans CJK SC"/>
        <family val="2"/>
      </rPr>
      <t xml:space="preserve">행</t>
    </r>
    <r>
      <rPr>
        <sz val="9"/>
        <rFont val="Arial"/>
        <family val="0"/>
        <charset val="1"/>
      </rPr>
      <t xml:space="preserve">)</t>
    </r>
  </si>
  <si>
    <t xml:space="preserve">3F</t>
  </si>
  <si>
    <t xml:space="preserve">C</t>
  </si>
  <si>
    <t xml:space="preserve">헬쓰장</t>
  </si>
  <si>
    <t xml:space="preserve">4F</t>
  </si>
  <si>
    <t xml:space="preserve">D</t>
  </si>
  <si>
    <t xml:space="preserve">국제와인</t>
  </si>
  <si>
    <r>
      <rPr>
        <sz val="9"/>
        <rFont val="Arial"/>
        <family val="0"/>
        <charset val="1"/>
      </rPr>
      <t xml:space="preserve">IM </t>
    </r>
    <r>
      <rPr>
        <sz val="9"/>
        <rFont val="Noto Sans CJK SC"/>
        <family val="2"/>
      </rPr>
      <t xml:space="preserve">작성</t>
    </r>
    <r>
      <rPr>
        <sz val="9"/>
        <rFont val="Arial"/>
        <family val="0"/>
        <charset val="1"/>
      </rPr>
      <t xml:space="preserve">(2025.05) </t>
    </r>
    <r>
      <rPr>
        <sz val="9"/>
        <rFont val="Noto Sans CJK SC"/>
        <family val="2"/>
      </rPr>
      <t xml:space="preserve">시점에 이미 만료</t>
    </r>
  </si>
  <si>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자가</t>
    </r>
    <r>
      <rPr>
        <sz val="9"/>
        <rFont val="Arial"/>
        <family val="0"/>
        <charset val="1"/>
      </rPr>
      <t xml:space="preserve">)</t>
    </r>
  </si>
  <si>
    <t xml:space="preserve">임대 전환 대상</t>
  </si>
  <si>
    <t xml:space="preserve">5F</t>
  </si>
  <si>
    <t xml:space="preserve">E</t>
  </si>
  <si>
    <r>
      <rPr>
        <sz val="9"/>
        <rFont val="Noto Sans CJK SC"/>
        <family val="2"/>
      </rPr>
      <t xml:space="preserve">별도 계약 </t>
    </r>
    <r>
      <rPr>
        <sz val="9"/>
        <rFont val="Arial"/>
        <family val="0"/>
        <charset val="1"/>
      </rPr>
      <t xml:space="preserve">· "</t>
    </r>
    <r>
      <rPr>
        <sz val="9"/>
        <rFont val="Noto Sans CJK SC"/>
        <family val="2"/>
      </rPr>
      <t xml:space="preserve">임대 </t>
    </r>
    <r>
      <rPr>
        <sz val="9"/>
        <rFont val="Arial"/>
        <family val="0"/>
        <charset val="1"/>
      </rPr>
      <t xml:space="preserve">11</t>
    </r>
    <r>
      <rPr>
        <sz val="9"/>
        <rFont val="Noto Sans CJK SC"/>
        <family val="2"/>
      </rPr>
      <t xml:space="preserve">년 경과</t>
    </r>
    <r>
      <rPr>
        <sz val="9"/>
        <rFont val="Arial"/>
        <family val="0"/>
        <charset val="1"/>
      </rPr>
      <t xml:space="preserve">"</t>
    </r>
  </si>
  <si>
    <t xml:space="preserve">합계</t>
  </si>
  <si>
    <r>
      <rPr>
        <b val="true"/>
        <sz val="15"/>
        <color rgb="FF1F3864"/>
        <rFont val="Noto Sans CJK SC"/>
        <family val="2"/>
      </rPr>
      <t xml:space="preserve">임대료 현실화 계획 </t>
    </r>
    <r>
      <rPr>
        <b val="true"/>
        <sz val="15"/>
        <color rgb="FF1F3864"/>
        <rFont val="Arial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</rPr>
      <t xml:space="preserve">원본 </t>
    </r>
    <r>
      <rPr>
        <b val="true"/>
        <sz val="15"/>
        <color rgb="FF1F3864"/>
        <rFont val="Arial"/>
        <family val="0"/>
        <charset val="1"/>
      </rPr>
      <t xml:space="preserve">p7) — ◇</t>
    </r>
    <r>
      <rPr>
        <b val="true"/>
        <sz val="15"/>
        <color rgb="FF1F3864"/>
        <rFont val="Noto Sans CJK SC"/>
        <family val="2"/>
      </rPr>
      <t xml:space="preserve">가정</t>
    </r>
  </si>
  <si>
    <r>
      <rPr>
        <sz val="10"/>
        <rFont val="Noto Sans CJK SC"/>
        <family val="2"/>
      </rPr>
      <t xml:space="preserve">당산동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11-47 — </t>
    </r>
    <r>
      <rPr>
        <sz val="10"/>
        <rFont val="Noto Sans CJK SC"/>
        <family val="2"/>
      </rPr>
      <t xml:space="preserve">임대료 현실화 계획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</si>
  <si>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IM p7 </t>
    </r>
    <r>
      <rPr>
        <sz val="10"/>
        <rFont val="Noto Sans CJK SC"/>
        <family val="2"/>
      </rPr>
      <t xml:space="preserve">판독</t>
    </r>
    <r>
      <rPr>
        <sz val="10"/>
        <rFont val="Arial"/>
        <family val="0"/>
        <charset val="1"/>
      </rPr>
      <t xml:space="preserve">) ◇</t>
    </r>
    <r>
      <rPr>
        <sz val="10"/>
        <rFont val="Noto Sans CJK SC"/>
        <family val="2"/>
      </rPr>
      <t xml:space="preserve">가정 — 실현 미확정</t>
    </r>
  </si>
  <si>
    <t xml:space="preserve">P1</t>
  </si>
  <si>
    <r>
      <rPr>
        <sz val="9"/>
        <rFont val="Noto Sans CJK SC"/>
        <family val="2"/>
      </rPr>
      <t xml:space="preserve">자가 → 임대 전환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기준층의 </t>
    </r>
    <r>
      <rPr>
        <sz val="9"/>
        <rFont val="Arial"/>
        <family val="0"/>
        <charset val="1"/>
      </rPr>
      <t xml:space="preserve">80%</t>
    </r>
  </si>
  <si>
    <t xml:space="preserve">P2</t>
  </si>
  <si>
    <r>
      <rPr>
        <sz val="9"/>
        <rFont val="Noto Sans CJK SC"/>
        <family val="2"/>
      </rPr>
      <t xml:space="preserve">기준층의 </t>
    </r>
    <r>
      <rPr>
        <sz val="9"/>
        <rFont val="Arial"/>
        <family val="0"/>
        <charset val="1"/>
      </rPr>
      <t xml:space="preserve">2.5</t>
    </r>
    <r>
      <rPr>
        <sz val="9"/>
        <rFont val="Noto Sans CJK SC"/>
        <family val="2"/>
      </rPr>
      <t xml:space="preserve">배</t>
    </r>
  </si>
  <si>
    <t xml:space="preserve">P3</t>
  </si>
  <si>
    <r>
      <rPr>
        <sz val="9"/>
        <rFont val="Arial"/>
        <family val="0"/>
        <charset val="1"/>
      </rPr>
      <t xml:space="preserve">1F+2F </t>
    </r>
    <r>
      <rPr>
        <sz val="9"/>
        <rFont val="Noto Sans CJK SC"/>
        <family val="2"/>
      </rPr>
      <t xml:space="preserve">통합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기준층의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배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현행 </t>
    </r>
    <r>
      <rPr>
        <sz val="9"/>
        <rFont val="Arial"/>
        <family val="0"/>
        <charset val="1"/>
      </rPr>
      <t xml:space="preserve">8,830 → </t>
    </r>
    <r>
      <rPr>
        <sz val="9"/>
        <rFont val="Noto Sans CJK SC"/>
        <family val="2"/>
      </rPr>
      <t xml:space="preserve">감액</t>
    </r>
  </si>
  <si>
    <r>
      <rPr>
        <sz val="9"/>
        <rFont val="Arial"/>
        <family val="0"/>
        <charset val="1"/>
      </rPr>
      <t xml:space="preserve">P3</t>
    </r>
    <r>
      <rPr>
        <sz val="9"/>
        <rFont val="Noto Sans CJK SC"/>
        <family val="2"/>
      </rPr>
      <t xml:space="preserve">그룹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기준층 동일</t>
    </r>
  </si>
  <si>
    <t xml:space="preserve">P4</t>
  </si>
  <si>
    <r>
      <rPr>
        <sz val="9"/>
        <rFont val="Noto Sans CJK SC"/>
        <family val="2"/>
      </rPr>
      <t xml:space="preserve">기준단가 </t>
    </r>
    <r>
      <rPr>
        <sz val="9"/>
        <rFont val="Arial"/>
        <family val="0"/>
        <charset val="1"/>
      </rPr>
      <t xml:space="preserve">62.4</t>
    </r>
    <r>
      <rPr>
        <sz val="9"/>
        <rFont val="Noto Sans CJK SC"/>
        <family val="2"/>
      </rPr>
      <t xml:space="preserve">천원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평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현행 유지</t>
    </r>
  </si>
  <si>
    <t xml:space="preserve">P5</t>
  </si>
  <si>
    <r>
      <rPr>
        <sz val="9"/>
        <rFont val="Noto Sans CJK SC"/>
        <family val="2"/>
      </rPr>
      <t xml:space="preserve">기준층 동일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갱신요구권 잔여 확인 필요</t>
    </r>
  </si>
  <si>
    <t xml:space="preserve">P6</t>
  </si>
  <si>
    <t xml:space="preserve">자가 → 임대 전환</t>
  </si>
  <si>
    <t xml:space="preserve">P7</t>
  </si>
  <si>
    <t xml:space="preserve">기준층 동일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</si>
  <si>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</si>
  <si>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</si>
  <si>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</si>
  <si>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</si>
  <si>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</si>
  <si>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</si>
  <si>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r>
      <rPr>
        <sz val="10"/>
        <rFont val="Noto Sans CJK SC"/>
        <family val="2"/>
      </rPr>
      <t xml:space="preserve">렌트롤 월세 합계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정본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</si>
  <si>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Noto Sans CJK SC"/>
        <family val="2"/>
      </rPr>
      <t xml:space="preserve">표지 요약과 다르면 발행 차단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이 표가 정본입니다</t>
    </r>
    <r>
      <rPr>
        <sz val="9"/>
        <color rgb="FF555555"/>
        <rFont val="Arial"/>
        <family val="0"/>
        <charset val="1"/>
      </rPr>
      <t xml:space="preserve">.</t>
    </r>
  </si>
  <si>
    <t xml:space="preserve">C19</t>
  </si>
  <si>
    <t xml:space="preserve">임대면적 합계</t>
  </si>
  <si>
    <r>
      <rPr>
        <sz val="9"/>
        <color rgb="FF555555"/>
        <rFont val="Noto Sans CJK SC"/>
        <family val="2"/>
      </rPr>
      <t xml:space="preserve">건축물대장 연면적과 대조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불일치 시 원인 규명 전까지 발행 보류</t>
    </r>
    <r>
      <rPr>
        <sz val="9"/>
        <color rgb="FF555555"/>
        <rFont val="Arial"/>
        <family val="0"/>
        <charset val="1"/>
      </rPr>
      <t xml:space="preserve">.</t>
    </r>
  </si>
  <si>
    <t xml:space="preserve">F11</t>
  </si>
  <si>
    <t xml:space="preserve">만료 계약 수</t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</si>
  <si>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건 이상이면 호실별 경고</t>
    </r>
    <r>
      <rPr>
        <sz val="9"/>
        <color rgb="FF555555"/>
        <rFont val="Arial"/>
        <family val="0"/>
        <charset val="1"/>
      </rPr>
      <t xml:space="preserve">.</t>
    </r>
  </si>
  <si>
    <t xml:space="preserve">F12</t>
  </si>
  <si>
    <r>
      <rPr>
        <sz val="10"/>
        <rFont val="Noto Sans CJK SC"/>
        <family val="2"/>
      </rPr>
      <t xml:space="preserve">만료 비율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초과</t>
    </r>
  </si>
  <si>
    <r>
      <rPr>
        <sz val="9"/>
        <color rgb="FF555555"/>
        <rFont val="Noto Sans CJK SC"/>
        <family val="2"/>
      </rPr>
      <t xml:space="preserve">절반 초과 시 렌트롤 갱신 전까지 발행 불가</t>
    </r>
    <r>
      <rPr>
        <sz val="9"/>
        <color rgb="FF555555"/>
        <rFont val="Arial"/>
        <family val="0"/>
        <charset val="1"/>
      </rPr>
      <t xml:space="preserve">.</t>
    </r>
  </si>
  <si>
    <t xml:space="preserve">F13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</si>
  <si>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내 만료 임박</t>
    </r>
  </si>
  <si>
    <r>
      <rPr>
        <sz val="9"/>
        <color rgb="FF555555"/>
        <rFont val="Noto Sans CJK SC"/>
        <family val="2"/>
      </rPr>
      <t xml:space="preserve">재계약 조건이 딜 구조를 바꿉니다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협의 상태 확인 필요</t>
    </r>
    <r>
      <rPr>
        <sz val="9"/>
        <color rgb="FF555555"/>
        <rFont val="Arial"/>
        <family val="0"/>
        <charset val="1"/>
      </rPr>
      <t xml:space="preserve">.</t>
    </r>
  </si>
  <si>
    <t xml:space="preserve">G18</t>
  </si>
  <si>
    <t xml:space="preserve">갱신권 판정 보류</t>
  </si>
  <si>
    <r>
      <rPr>
        <sz val="9"/>
        <color rgb="FF555555"/>
        <rFont val="Noto Sans CJK SC"/>
        <family val="2"/>
      </rPr>
      <t xml:space="preserve">최초계약일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상가</t>
    </r>
    <r>
      <rPr>
        <sz val="9"/>
        <color rgb="FF555555"/>
        <rFont val="Arial"/>
        <family val="0"/>
        <charset val="1"/>
      </rPr>
      <t xml:space="preserve">)·</t>
    </r>
    <r>
      <rPr>
        <sz val="9"/>
        <color rgb="FF555555"/>
        <rFont val="Noto Sans CJK SC"/>
        <family val="2"/>
      </rPr>
      <t xml:space="preserve">행사이력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주택</t>
    </r>
    <r>
      <rPr>
        <sz val="9"/>
        <color rgb="FF555555"/>
        <rFont val="Arial"/>
        <family val="0"/>
        <charset val="1"/>
      </rPr>
      <t xml:space="preserve">) </t>
    </r>
    <r>
      <rPr>
        <sz val="9"/>
        <color rgb="FF555555"/>
        <rFont val="Noto Sans CJK SC"/>
        <family val="2"/>
      </rPr>
      <t xml:space="preserve">누락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숫자 대신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확인 필요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출력</t>
    </r>
    <r>
      <rPr>
        <sz val="9"/>
        <color rgb="FF555555"/>
        <rFont val="Arial"/>
        <family val="0"/>
        <charset val="1"/>
      </rPr>
      <t xml:space="preserve">.</t>
    </r>
  </si>
  <si>
    <t xml:space="preserve">G13</t>
  </si>
  <si>
    <t xml:space="preserve">대항력 미확인</t>
  </si>
  <si>
    <r>
      <rPr>
        <sz val="9"/>
        <color rgb="FF555555"/>
        <rFont val="Noto Sans CJK SC"/>
        <family val="2"/>
      </rPr>
      <t xml:space="preserve">근거 없이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없음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표기 시 발행 차단</t>
    </r>
    <r>
      <rPr>
        <sz val="9"/>
        <color rgb="FF555555"/>
        <rFont val="Arial"/>
        <family val="0"/>
        <charset val="1"/>
      </rPr>
      <t xml:space="preserve">.</t>
    </r>
  </si>
  <si>
    <t xml:space="preserve">G17</t>
  </si>
  <si>
    <t xml:space="preserve">업종 미기재</t>
  </si>
  <si>
    <r>
      <rPr>
        <sz val="9"/>
        <color rgb="FF555555"/>
        <rFont val="Noto Sans CJK SC"/>
        <family val="2"/>
      </rPr>
      <t xml:space="preserve">비면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미상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으로 출력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추론 금지</t>
    </r>
    <r>
      <rPr>
        <sz val="9"/>
        <color rgb="FF555555"/>
        <rFont val="Arial"/>
        <family val="0"/>
        <charset val="1"/>
      </rPr>
      <t xml:space="preserve">.</t>
    </r>
  </si>
  <si>
    <t xml:space="preserve">T-C</t>
  </si>
  <si>
    <t xml:space="preserve">환산보증금 초과 호실</t>
  </si>
  <si>
    <r>
      <rPr>
        <sz val="9"/>
        <color rgb="FF555555"/>
        <rFont val="Noto Sans CJK SC"/>
        <family val="2"/>
      </rPr>
      <t xml:space="preserve">초과 시 </t>
    </r>
    <r>
      <rPr>
        <sz val="9"/>
        <color rgb="FF555555"/>
        <rFont val="Arial"/>
        <family val="0"/>
        <charset val="1"/>
      </rPr>
      <t xml:space="preserve">5% </t>
    </r>
    <r>
      <rPr>
        <sz val="9"/>
        <color rgb="FF555555"/>
        <rFont val="Noto Sans CJK SC"/>
        <family val="2"/>
      </rPr>
      <t xml:space="preserve">인상상한</t>
    </r>
    <r>
      <rPr>
        <sz val="9"/>
        <color rgb="FF555555"/>
        <rFont val="Arial"/>
        <family val="0"/>
        <charset val="1"/>
      </rPr>
      <t xml:space="preserve">·</t>
    </r>
    <r>
      <rPr>
        <sz val="9"/>
        <color rgb="FF555555"/>
        <rFont val="Noto Sans CJK SC"/>
        <family val="2"/>
      </rPr>
      <t xml:space="preserve">우선변제권 미적용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갱신요구권은 적용됨</t>
    </r>
    <r>
      <rPr>
        <sz val="9"/>
        <color rgb="FF555555"/>
        <rFont val="Arial"/>
        <family val="0"/>
        <charset val="1"/>
      </rPr>
      <t xml:space="preserve">.</t>
    </r>
  </si>
  <si>
    <t xml:space="preserve">F01</t>
  </si>
  <si>
    <r>
      <rPr>
        <sz val="9"/>
        <color rgb="FF555555"/>
        <rFont val="Noto Sans CJK SC"/>
        <family val="2"/>
      </rPr>
      <t xml:space="preserve">없으면 신선도 판정 불가</t>
    </r>
    <r>
      <rPr>
        <sz val="9"/>
        <color rgb="FF555555"/>
        <rFont val="Arial"/>
        <family val="0"/>
        <charset val="1"/>
      </rPr>
      <t xml:space="preserve">.</t>
    </r>
  </si>
  <si>
    <t xml:space="preserve">C21</t>
  </si>
  <si>
    <r>
      <rPr>
        <sz val="10"/>
        <rFont val="Noto Sans CJK SC"/>
        <family val="2"/>
      </rPr>
      <t xml:space="preserve">공실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자가사용</t>
    </r>
  </si>
  <si>
    <r>
      <rPr>
        <sz val="9"/>
        <color rgb="FF555555"/>
        <rFont val="Noto Sans CJK SC"/>
        <family val="2"/>
      </rPr>
      <t xml:space="preserve">자가사용은 임대 전환 여력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공실 손실과 구분합니다</t>
    </r>
    <r>
      <rPr>
        <sz val="9"/>
        <color rgb="FF555555"/>
        <rFont val="Arial"/>
        <family val="0"/>
        <charset val="1"/>
      </rPr>
      <t xml:space="preserve">.</t>
    </r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</si>
  <si>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</si>
  <si>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</si>
  <si>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</si>
  <si>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</si>
  <si>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</si>
  <si>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최소형</t>
    </r>
  </si>
  <si>
    <r>
      <rPr>
        <sz val="9"/>
        <rFont val="Noto Sans CJK SC"/>
        <family val="2"/>
      </rPr>
      <t xml:space="preserve">호실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업종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금액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만료일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임대상태</t>
    </r>
  </si>
  <si>
    <r>
      <rPr>
        <sz val="9"/>
        <color rgb="FF555555"/>
        <rFont val="Noto Sans CJK SC"/>
        <family val="2"/>
      </rPr>
      <t xml:space="preserve">렌트롤 표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만료 타임라인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총액 수익률</t>
    </r>
  </si>
  <si>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필요형</t>
    </r>
  </si>
  <si>
    <r>
      <rPr>
        <sz val="9"/>
        <rFont val="Arial"/>
        <family val="0"/>
        <charset val="1"/>
      </rPr>
      <t xml:space="preserve">R1 + </t>
    </r>
    <r>
      <rPr>
        <sz val="9"/>
        <rFont val="Noto Sans CJK SC"/>
        <family val="2"/>
      </rPr>
      <t xml:space="preserve">면적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적용법령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관리비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시작일</t>
    </r>
  </si>
  <si>
    <r>
      <rPr>
        <sz val="9"/>
        <color rgb="FF555555"/>
        <rFont val="Noto Sans CJK SC"/>
        <family val="2"/>
      </rPr>
      <t xml:space="preserve">평당 단가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층별 단가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환산보증금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상임법 판정</t>
    </r>
  </si>
  <si>
    <r>
      <rPr>
        <b val="true"/>
        <sz val="10"/>
        <rFont val="Arial"/>
        <family val="0"/>
        <charset val="1"/>
      </rPr>
      <t xml:space="preserve">R3 </t>
    </r>
    <r>
      <rPr>
        <b val="true"/>
        <sz val="10"/>
        <rFont val="Noto Sans CJK SC"/>
        <family val="2"/>
      </rPr>
      <t xml:space="preserve">표준형</t>
    </r>
  </si>
  <si>
    <r>
      <rPr>
        <sz val="9"/>
        <rFont val="Arial"/>
        <family val="0"/>
        <charset val="1"/>
      </rPr>
      <t xml:space="preserve">R2 + </t>
    </r>
    <r>
      <rPr>
        <sz val="9"/>
        <rFont val="Noto Sans CJK SC"/>
        <family val="2"/>
      </rPr>
      <t xml:space="preserve">최초계약일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대항력</t>
    </r>
  </si>
  <si>
    <r>
      <rPr>
        <sz val="9"/>
        <color rgb="FF555555"/>
        <rFont val="Noto Sans CJK SC"/>
        <family val="2"/>
      </rPr>
      <t xml:space="preserve">갱신요구권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명도 계획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임대료 정상화 시뮬</t>
    </r>
  </si>
  <si>
    <t xml:space="preserve">현재 해상도</t>
  </si>
  <si>
    <t xml:space="preserve">다음 한 칸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</si>
</sst>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#,##0.00"/>
    <numFmt numFmtId="168" formatCode="#,##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i val="true"/>
      <sz val="9"/>
      <color rgb="FFC00000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8"/>
      <color rgb="FF555555"/>
      <name val="Noto Sans CJK SC"/>
      <family val="2"/>
    </font>
    <font>
      <b val="true"/>
      <sz val="8"/>
      <color rgb="FF555555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name val="Arial"/>
      <family val="0"/>
      <charset val="1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1"/>
      <name val="Noto Sans CJK SC"/>
      <family val="2"/>
    </font>
    <font>
      <sz val="10"/>
      <color rgb="FFC00000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0E0"/>
        <bgColor rgb="FFFCE4EC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9E2F3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FE0E0"/>
      </patternFill>
    </fill>
    <fill>
      <patternFill patternType="solid">
        <fgColor rgb="FFF2F2F2"/>
        <bgColor rgb="FFE8E8E8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CE4EC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21.6" hidden="false" customHeight="fals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2"/>
    </row>
    <row r="6" customFormat="false" ht="15" hidden="false" customHeight="false" outlineLevel="0" collapsed="false">
      <c r="B6" s="3" t="s">
        <v>2</v>
      </c>
      <c r="C6" s="3"/>
    </row>
    <row r="7" customFormat="false" ht="30" hidden="false" customHeight="true" outlineLevel="0" collapsed="false">
      <c r="B7" s="4" t="s">
        <v>3</v>
      </c>
      <c r="C7" s="5" t="s">
        <v>4</v>
      </c>
    </row>
    <row r="8" customFormat="false" ht="30" hidden="false" customHeight="true" outlineLevel="0" collapsed="false">
      <c r="B8" s="4" t="s">
        <v>5</v>
      </c>
      <c r="C8" s="5" t="s">
        <v>6</v>
      </c>
    </row>
    <row r="9" customFormat="false" ht="30" hidden="false" customHeight="true" outlineLevel="0" collapsed="false">
      <c r="B9" s="4" t="s">
        <v>7</v>
      </c>
      <c r="C9" s="5" t="s">
        <v>8</v>
      </c>
    </row>
    <row r="11" customFormat="false" ht="15" hidden="false" customHeight="false" outlineLevel="0" collapsed="false">
      <c r="B11" s="3" t="s">
        <v>9</v>
      </c>
      <c r="C11" s="3"/>
    </row>
    <row r="12" customFormat="false" ht="30" hidden="false" customHeight="true" outlineLevel="0" collapsed="false">
      <c r="B12" s="4" t="s">
        <v>10</v>
      </c>
      <c r="C12" s="5" t="s">
        <v>11</v>
      </c>
    </row>
    <row r="13" customFormat="false" ht="30" hidden="false" customHeight="true" outlineLevel="0" collapsed="false">
      <c r="B13" s="4" t="s">
        <v>12</v>
      </c>
      <c r="C13" s="5" t="s">
        <v>13</v>
      </c>
    </row>
    <row r="14" customFormat="false" ht="30" hidden="false" customHeight="true" outlineLevel="0" collapsed="false">
      <c r="B14" s="4" t="s">
        <v>14</v>
      </c>
      <c r="C14" s="5" t="s">
        <v>15</v>
      </c>
    </row>
    <row r="15" customFormat="false" ht="30" hidden="false" customHeight="true" outlineLevel="0" collapsed="false">
      <c r="B15" s="4" t="s">
        <v>16</v>
      </c>
      <c r="C15" s="5" t="s">
        <v>17</v>
      </c>
    </row>
    <row r="16" customFormat="false" ht="30" hidden="false" customHeight="true" outlineLevel="0" collapsed="false">
      <c r="B16" s="4" t="s">
        <v>18</v>
      </c>
      <c r="C16" s="5" t="s">
        <v>19</v>
      </c>
    </row>
    <row r="17" customFormat="false" ht="30" hidden="false" customHeight="true" outlineLevel="0" collapsed="false">
      <c r="B17" s="4" t="s">
        <v>20</v>
      </c>
      <c r="C17" s="5" t="s">
        <v>21</v>
      </c>
    </row>
    <row r="19" customFormat="false" ht="15" hidden="false" customHeight="false" outlineLevel="0" collapsed="false">
      <c r="B19" s="3" t="s">
        <v>22</v>
      </c>
      <c r="C19" s="3"/>
    </row>
    <row r="20" customFormat="false" ht="30" hidden="false" customHeight="true" outlineLevel="0" collapsed="false">
      <c r="B20" s="6" t="s">
        <v>23</v>
      </c>
      <c r="C20" s="7" t="s">
        <v>24</v>
      </c>
    </row>
    <row r="21" customFormat="false" ht="30" hidden="false" customHeight="true" outlineLevel="0" collapsed="false">
      <c r="B21" s="6" t="s">
        <v>25</v>
      </c>
      <c r="C21" s="7" t="s">
        <v>26</v>
      </c>
    </row>
    <row r="22" customFormat="false" ht="30" hidden="false" customHeight="true" outlineLevel="0" collapsed="false">
      <c r="B22" s="6" t="s">
        <v>27</v>
      </c>
      <c r="C22" s="7" t="s">
        <v>28</v>
      </c>
    </row>
    <row r="24" customFormat="false" ht="15" hidden="false" customHeight="false" outlineLevel="0" collapsed="false">
      <c r="B24" s="3" t="s">
        <v>29</v>
      </c>
      <c r="C24" s="3"/>
    </row>
    <row r="25" customFormat="false" ht="30" hidden="false" customHeight="true" outlineLevel="0" collapsed="false">
      <c r="B25" s="4" t="s">
        <v>30</v>
      </c>
      <c r="C25" s="5" t="s">
        <v>31</v>
      </c>
    </row>
    <row r="26" customFormat="false" ht="30" hidden="false" customHeight="true" outlineLevel="0" collapsed="false">
      <c r="B26" s="4" t="s">
        <v>32</v>
      </c>
      <c r="C26" s="5" t="s">
        <v>33</v>
      </c>
    </row>
    <row r="27" customFormat="false" ht="30" hidden="false" customHeight="true" outlineLevel="0" collapsed="false">
      <c r="B27" s="4" t="s">
        <v>34</v>
      </c>
      <c r="C27" s="5" t="s">
        <v>35</v>
      </c>
    </row>
    <row r="29" customFormat="false" ht="15" hidden="false" customHeight="false" outlineLevel="0" collapsed="false">
      <c r="B29" s="3" t="s">
        <v>36</v>
      </c>
      <c r="C29" s="3"/>
    </row>
    <row r="30" customFormat="false" ht="30" hidden="false" customHeight="true" outlineLevel="0" collapsed="false">
      <c r="B30" s="4" t="s">
        <v>37</v>
      </c>
      <c r="C30" s="5" t="s">
        <v>38</v>
      </c>
    </row>
    <row r="31" customFormat="false" ht="30" hidden="false" customHeight="true" outlineLevel="0" collapsed="false">
      <c r="B31" s="4" t="s">
        <v>39</v>
      </c>
      <c r="C31" s="5" t="s">
        <v>40</v>
      </c>
    </row>
    <row r="32" customFormat="false" ht="30" hidden="false" customHeight="true" outlineLevel="0" collapsed="false">
      <c r="B32" s="4" t="s">
        <v>41</v>
      </c>
      <c r="C32" s="5" t="s">
        <v>42</v>
      </c>
    </row>
    <row r="33" customFormat="false" ht="30" hidden="false" customHeight="true" outlineLevel="0" collapsed="false">
      <c r="B33" s="4" t="s">
        <v>43</v>
      </c>
      <c r="C33" s="5" t="s">
        <v>44</v>
      </c>
    </row>
    <row r="34" customFormat="false" ht="30" hidden="false" customHeight="true" outlineLevel="0" collapsed="false">
      <c r="B34" s="4" t="s">
        <v>45</v>
      </c>
      <c r="C34" s="5" t="s">
        <v>46</v>
      </c>
    </row>
    <row r="36" customFormat="false" ht="15" hidden="false" customHeight="false" outlineLevel="0" collapsed="false">
      <c r="B36" s="3" t="s">
        <v>47</v>
      </c>
      <c r="C36" s="3"/>
    </row>
    <row r="37" customFormat="false" ht="30" hidden="false" customHeight="true" outlineLevel="0" collapsed="false">
      <c r="B37" s="4" t="s">
        <v>48</v>
      </c>
      <c r="C37" s="5" t="s">
        <v>49</v>
      </c>
    </row>
    <row r="38" customFormat="false" ht="30" hidden="false" customHeight="true" outlineLevel="0" collapsed="false">
      <c r="B38" s="4" t="s">
        <v>34</v>
      </c>
      <c r="C38" s="5" t="s">
        <v>50</v>
      </c>
    </row>
    <row r="39" customFormat="false" ht="30" hidden="false" customHeight="true" outlineLevel="0" collapsed="false">
      <c r="B39" s="4" t="s">
        <v>51</v>
      </c>
      <c r="C39" s="5" t="s">
        <v>52</v>
      </c>
    </row>
    <row r="40" customFormat="false" ht="30" hidden="false" customHeight="true" outlineLevel="0" collapsed="false">
      <c r="B40" s="4" t="s">
        <v>53</v>
      </c>
      <c r="C40" s="5" t="s">
        <v>54</v>
      </c>
    </row>
    <row r="41" customFormat="false" ht="30" hidden="false" customHeight="true" outlineLevel="0" collapsed="false">
      <c r="B41" s="4" t="s">
        <v>55</v>
      </c>
      <c r="C41" s="5" t="s">
        <v>56</v>
      </c>
    </row>
    <row r="42" customFormat="false" ht="30" hidden="false" customHeight="true" outlineLevel="0" collapsed="false">
      <c r="B42" s="4" t="s">
        <v>57</v>
      </c>
      <c r="C42" s="5" t="s">
        <v>58</v>
      </c>
    </row>
  </sheetData>
  <mergeCells count="2">
    <mergeCell ref="B2:C2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4"/>
    <col collapsed="false" customWidth="true" hidden="false" outlineLevel="0" max="20" min="19" style="0" width="15"/>
    <col collapsed="false" customWidth="true" hidden="false" outlineLevel="0" max="21" min="21" style="0" width="14"/>
  </cols>
  <sheetData>
    <row r="1" customFormat="false" ht="23.1" hidden="false" customHeight="false" outlineLevel="0" collapsed="false">
      <c r="A1" s="8" t="s">
        <v>59</v>
      </c>
      <c r="B1" s="8"/>
      <c r="C1" s="8"/>
      <c r="D1" s="8"/>
      <c r="E1" s="8"/>
      <c r="F1" s="8"/>
      <c r="G1" s="8"/>
      <c r="H1" s="8"/>
    </row>
    <row r="3" customFormat="false" ht="15" hidden="false" customHeight="false" outlineLevel="0" collapsed="false">
      <c r="A3" s="9" t="s">
        <v>60</v>
      </c>
      <c r="B3" s="9"/>
      <c r="C3" s="10" t="s">
        <v>61</v>
      </c>
      <c r="D3" s="10"/>
      <c r="E3" s="10"/>
      <c r="F3" s="11" t="s">
        <v>62</v>
      </c>
    </row>
    <row r="4" customFormat="false" ht="15" hidden="false" customHeight="false" outlineLevel="0" collapsed="false">
      <c r="A4" s="9" t="s">
        <v>63</v>
      </c>
      <c r="B4" s="9"/>
      <c r="C4" s="10" t="s">
        <v>64</v>
      </c>
      <c r="D4" s="10"/>
      <c r="E4" s="10"/>
      <c r="F4" s="12" t="s">
        <v>65</v>
      </c>
    </row>
    <row r="5" customFormat="false" ht="15" hidden="false" customHeight="false" outlineLevel="0" collapsed="false">
      <c r="A5" s="9" t="s">
        <v>66</v>
      </c>
      <c r="B5" s="9"/>
      <c r="C5" s="13" t="n">
        <v>45778</v>
      </c>
      <c r="D5" s="13"/>
      <c r="E5" s="13"/>
    </row>
    <row r="6" customFormat="false" ht="15" hidden="false" customHeight="false" outlineLevel="0" collapsed="false">
      <c r="A6" s="9" t="s">
        <v>67</v>
      </c>
      <c r="B6" s="9"/>
      <c r="C6" s="13" t="n">
        <v>46257</v>
      </c>
      <c r="D6" s="13"/>
      <c r="E6" s="13"/>
    </row>
    <row r="7" customFormat="false" ht="15" hidden="false" customHeight="false" outlineLevel="0" collapsed="false">
      <c r="A7" s="9" t="s">
        <v>68</v>
      </c>
      <c r="B7" s="9"/>
      <c r="C7" s="14" t="n">
        <v>900000000</v>
      </c>
      <c r="D7" s="14"/>
      <c r="E7" s="14"/>
    </row>
    <row r="8" customFormat="false" ht="15" hidden="false" customHeight="false" outlineLevel="0" collapsed="false">
      <c r="A8" s="9" t="s">
        <v>69</v>
      </c>
      <c r="B8" s="9"/>
      <c r="C8" s="15" t="s">
        <v>70</v>
      </c>
      <c r="D8" s="15"/>
      <c r="E8" s="15"/>
    </row>
    <row r="9" customFormat="false" ht="15" hidden="false" customHeight="false" outlineLevel="0" collapsed="false">
      <c r="A9" s="9" t="s">
        <v>71</v>
      </c>
      <c r="B9" s="9"/>
      <c r="C9" s="13" t="n">
        <v>46257</v>
      </c>
      <c r="D9" s="13"/>
      <c r="E9" s="13"/>
    </row>
    <row r="11" customFormat="false" ht="13.5" hidden="false" customHeight="true" outlineLevel="0" collapsed="false">
      <c r="A11" s="16" t="s">
        <v>72</v>
      </c>
      <c r="B11" s="17" t="s">
        <v>73</v>
      </c>
      <c r="C11" s="17" t="s">
        <v>73</v>
      </c>
      <c r="D11" s="18" t="s">
        <v>74</v>
      </c>
      <c r="E11" s="17" t="s">
        <v>73</v>
      </c>
      <c r="F11" s="18" t="s">
        <v>74</v>
      </c>
      <c r="G11" s="18" t="s">
        <v>74</v>
      </c>
      <c r="H11" s="17" t="s">
        <v>73</v>
      </c>
      <c r="I11" s="19" t="s">
        <v>75</v>
      </c>
      <c r="J11" s="17" t="s">
        <v>73</v>
      </c>
      <c r="K11" s="18" t="s">
        <v>74</v>
      </c>
      <c r="L11" s="19" t="s">
        <v>75</v>
      </c>
      <c r="M11" s="19" t="s">
        <v>75</v>
      </c>
      <c r="N11" s="18" t="s">
        <v>74</v>
      </c>
      <c r="O11" s="20" t="s">
        <v>76</v>
      </c>
      <c r="P11" s="21"/>
      <c r="Q11" s="21"/>
      <c r="R11" s="21"/>
      <c r="S11" s="21"/>
      <c r="T11" s="21"/>
      <c r="U11" s="21"/>
    </row>
    <row r="12" customFormat="false" ht="31.5" hidden="false" customHeight="true" outlineLevel="0" collapsed="false">
      <c r="A12" s="22" t="s">
        <v>77</v>
      </c>
      <c r="B12" s="22" t="s">
        <v>78</v>
      </c>
      <c r="C12" s="22" t="s">
        <v>79</v>
      </c>
      <c r="D12" s="22" t="s">
        <v>80</v>
      </c>
      <c r="E12" s="22" t="s">
        <v>14</v>
      </c>
      <c r="F12" s="22" t="s">
        <v>81</v>
      </c>
      <c r="G12" s="22" t="s">
        <v>82</v>
      </c>
      <c r="H12" s="22" t="s">
        <v>83</v>
      </c>
      <c r="I12" s="22" t="s">
        <v>23</v>
      </c>
      <c r="J12" s="22" t="s">
        <v>84</v>
      </c>
      <c r="K12" s="22" t="s">
        <v>20</v>
      </c>
      <c r="L12" s="22" t="s">
        <v>25</v>
      </c>
      <c r="M12" s="22" t="s">
        <v>27</v>
      </c>
      <c r="N12" s="22" t="s">
        <v>16</v>
      </c>
      <c r="O12" s="22" t="s">
        <v>85</v>
      </c>
      <c r="P12" s="22" t="s">
        <v>86</v>
      </c>
      <c r="Q12" s="22" t="s">
        <v>87</v>
      </c>
      <c r="R12" s="22" t="s">
        <v>51</v>
      </c>
      <c r="S12" s="22" t="s">
        <v>88</v>
      </c>
      <c r="T12" s="22" t="s">
        <v>89</v>
      </c>
      <c r="U12" s="22" t="s">
        <v>90</v>
      </c>
    </row>
    <row r="13" customFormat="false" ht="18" hidden="false" customHeight="true" outlineLevel="0" collapsed="false">
      <c r="A13" s="23" t="s">
        <v>91</v>
      </c>
      <c r="B13" s="23"/>
      <c r="C13" s="24" t="n">
        <v>317.22</v>
      </c>
      <c r="D13" s="25" t="s">
        <v>92</v>
      </c>
      <c r="E13" s="25" t="s">
        <v>93</v>
      </c>
      <c r="F13" s="26"/>
      <c r="G13" s="26"/>
      <c r="H13" s="26"/>
      <c r="I13" s="27"/>
      <c r="J13" s="27"/>
      <c r="K13" s="27"/>
      <c r="L13" s="25" t="s">
        <v>94</v>
      </c>
      <c r="M13" s="25" t="s">
        <v>93</v>
      </c>
      <c r="N13" s="25" t="s">
        <v>95</v>
      </c>
      <c r="O13" s="25" t="s">
        <v>96</v>
      </c>
      <c r="P13" s="28" t="n">
        <f aca="false">IF(C13="","",C13/3.305785)</f>
        <v>95.9590535984645</v>
      </c>
      <c r="Q13" s="29" t="str">
        <f aca="false">IF(OR(N13&lt;&gt;"임대중",E13&lt;&gt;"상가",F13=""),"",F13+G13*100)</f>
        <v/>
      </c>
      <c r="R13" s="30" t="str">
        <f aca="false">IF(Q13="","",IF(Q13&lt;=$C$7,"○ 전면적용","× 초과 (5%상한 미적용)"))</f>
        <v/>
      </c>
      <c r="S13" s="30" t="str">
        <f aca="false">IF(N13&lt;&gt;"임대중","",IF(E13="상가",IF(I13="","확인 필요",TEXT(MAX(0,10-($C$6-I13)/365.25),"0.0")&amp;"년"),IF(E13="주택",IF(L13="있음","소진(1회)",IF(L13="없음",IF(K13="","확인 필요",TEXT(EDATE(K13,24),"yyyy-mm")&amp;"까지"),"확인 필요")),"확인 필요")))</f>
        <v/>
      </c>
      <c r="T13" s="30" t="str">
        <f aca="false">IF(N13="공실","공실",IF(N13="자가사용","자가사용",IF(K13="","만료일 없음",IF(K13&lt;$C$6,"만료 +"&amp;TEXT($C$6-K13,"0")&amp;"일",IF(K13-$C$6&lt;=30,"임박 "&amp;TEXT(K13-$C$6,"0")&amp;"일","유효")))))</f>
        <v>자가사용</v>
      </c>
      <c r="U13" s="29" t="n">
        <f aca="false">IF(N13&lt;&gt;"임대중",0,IF(G13="",0,G13)+IF(H13="",0,H13))</f>
        <v>0</v>
      </c>
    </row>
    <row r="14" customFormat="false" ht="18" hidden="false" customHeight="true" outlineLevel="0" collapsed="false">
      <c r="A14" s="23" t="s">
        <v>97</v>
      </c>
      <c r="B14" s="23" t="s">
        <v>98</v>
      </c>
      <c r="C14" s="24" t="n">
        <v>78.39</v>
      </c>
      <c r="D14" s="25" t="s">
        <v>99</v>
      </c>
      <c r="E14" s="25" t="s">
        <v>100</v>
      </c>
      <c r="F14" s="26" t="n">
        <v>60000000</v>
      </c>
      <c r="G14" s="26" t="n">
        <v>1830000</v>
      </c>
      <c r="H14" s="26"/>
      <c r="I14" s="27"/>
      <c r="J14" s="27"/>
      <c r="K14" s="27" t="n">
        <v>46265</v>
      </c>
      <c r="L14" s="25" t="s">
        <v>94</v>
      </c>
      <c r="M14" s="25" t="s">
        <v>93</v>
      </c>
      <c r="N14" s="25" t="s">
        <v>101</v>
      </c>
      <c r="O14" s="25" t="s">
        <v>102</v>
      </c>
      <c r="P14" s="28" t="n">
        <f aca="false">IF(C14="","",C14/3.305785)</f>
        <v>23.7129758892366</v>
      </c>
      <c r="Q14" s="29" t="n">
        <f aca="false">IF(OR(N14&lt;&gt;"임대중",E14&lt;&gt;"상가",F14=""),"",F14+G14*100)</f>
        <v>243000000</v>
      </c>
      <c r="R14" s="30" t="str">
        <f aca="false">IF(Q14="","",IF(Q14&lt;=$C$7,"○ 전면적용","× 초과 (5%상한 미적용)"))</f>
        <v>○ 전면적용</v>
      </c>
      <c r="S14" s="30" t="str">
        <f aca="false">IF(N14&lt;&gt;"임대중","",IF(E14="상가",IF(I14="","확인 필요",TEXT(MAX(0,10-($C$6-I14)/365.25),"0.0")&amp;"년"),IF(E14="주택",IF(L14="있음","소진(1회)",IF(L14="없음",IF(K14="","확인 필요",TEXT(EDATE(K14,24),"yyyy-mm")&amp;"까지"),"확인 필요")),"확인 필요")))</f>
        <v>확인 필요</v>
      </c>
      <c r="T14" s="30" t="str">
        <f aca="false">IF(N14="공실","공실",IF(N14="자가사용","자가사용",IF(K14="","만료일 없음",IF(K14&lt;$C$6,"만료 +"&amp;TEXT($C$6-K14,"0")&amp;"일",IF(K14-$C$6&lt;=30,"임박 "&amp;TEXT(K14-$C$6,"0")&amp;"일","유효")))))</f>
        <v>임박 8일</v>
      </c>
      <c r="U14" s="29" t="n">
        <f aca="false">IF(N14&lt;&gt;"임대중",0,IF(G14="",0,G14)+IF(H14="",0,H14))</f>
        <v>1830000</v>
      </c>
    </row>
    <row r="15" customFormat="false" ht="18" hidden="false" customHeight="true" outlineLevel="0" collapsed="false">
      <c r="A15" s="23" t="s">
        <v>97</v>
      </c>
      <c r="B15" s="23" t="s">
        <v>103</v>
      </c>
      <c r="C15" s="24" t="n">
        <v>105.6</v>
      </c>
      <c r="D15" s="25" t="s">
        <v>104</v>
      </c>
      <c r="E15" s="25" t="s">
        <v>100</v>
      </c>
      <c r="F15" s="26" t="n">
        <v>140000000</v>
      </c>
      <c r="G15" s="26" t="n">
        <v>8830000</v>
      </c>
      <c r="H15" s="26"/>
      <c r="I15" s="27"/>
      <c r="J15" s="27"/>
      <c r="K15" s="27" t="n">
        <v>46265</v>
      </c>
      <c r="L15" s="25" t="s">
        <v>94</v>
      </c>
      <c r="M15" s="25" t="s">
        <v>93</v>
      </c>
      <c r="N15" s="25" t="s">
        <v>101</v>
      </c>
      <c r="O15" s="23" t="s">
        <v>105</v>
      </c>
      <c r="P15" s="28" t="n">
        <f aca="false">IF(C15="","",C15/3.305785)</f>
        <v>31.9440011979</v>
      </c>
      <c r="Q15" s="29" t="n">
        <f aca="false">IF(OR(N15&lt;&gt;"임대중",E15&lt;&gt;"상가",F15=""),"",F15+G15*100)</f>
        <v>1023000000</v>
      </c>
      <c r="R15" s="30" t="str">
        <f aca="false">IF(Q15="","",IF(Q15&lt;=$C$7,"○ 전면적용","× 초과 (5%상한 미적용)"))</f>
        <v>× 초과 (5%상한 미적용)</v>
      </c>
      <c r="S15" s="30" t="str">
        <f aca="false">IF(N15&lt;&gt;"임대중","",IF(E15="상가",IF(I15="","확인 필요",TEXT(MAX(0,10-($C$6-I15)/365.25),"0.0")&amp;"년"),IF(E15="주택",IF(L15="있음","소진(1회)",IF(L15="없음",IF(K15="","확인 필요",TEXT(EDATE(K15,24),"yyyy-mm")&amp;"까지"),"확인 필요")),"확인 필요")))</f>
        <v>확인 필요</v>
      </c>
      <c r="T15" s="30" t="str">
        <f aca="false">IF(N15="공실","공실",IF(N15="자가사용","자가사용",IF(K15="","만료일 없음",IF(K15&lt;$C$6,"만료 +"&amp;TEXT($C$6-K15,"0")&amp;"일",IF(K15-$C$6&lt;=30,"임박 "&amp;TEXT(K15-$C$6,"0")&amp;"일","유효")))))</f>
        <v>임박 8일</v>
      </c>
      <c r="U15" s="29" t="n">
        <f aca="false">IF(N15&lt;&gt;"임대중",0,IF(G15="",0,G15)+IF(H15="",0,H15))</f>
        <v>8830000</v>
      </c>
    </row>
    <row r="16" customFormat="false" ht="18" hidden="false" customHeight="true" outlineLevel="0" collapsed="false">
      <c r="A16" s="23" t="s">
        <v>106</v>
      </c>
      <c r="B16" s="23" t="s">
        <v>103</v>
      </c>
      <c r="C16" s="24" t="n">
        <v>252.09</v>
      </c>
      <c r="D16" s="25" t="s">
        <v>104</v>
      </c>
      <c r="E16" s="25" t="s">
        <v>100</v>
      </c>
      <c r="F16" s="26"/>
      <c r="G16" s="26"/>
      <c r="H16" s="26"/>
      <c r="I16" s="27"/>
      <c r="J16" s="27"/>
      <c r="K16" s="27" t="n">
        <v>46265</v>
      </c>
      <c r="L16" s="25" t="s">
        <v>94</v>
      </c>
      <c r="M16" s="25" t="s">
        <v>93</v>
      </c>
      <c r="N16" s="25" t="s">
        <v>101</v>
      </c>
      <c r="O16" s="23" t="s">
        <v>107</v>
      </c>
      <c r="P16" s="28" t="n">
        <f aca="false">IF(C16="","",C16/3.305785)</f>
        <v>76.257227859646</v>
      </c>
      <c r="Q16" s="29" t="str">
        <f aca="false">IF(OR(N16&lt;&gt;"임대중",E16&lt;&gt;"상가",F16=""),"",F16+G16*100)</f>
        <v/>
      </c>
      <c r="R16" s="30" t="str">
        <f aca="false">IF(Q16="","",IF(Q16&lt;=$C$7,"○ 전면적용","× 초과 (5%상한 미적용)"))</f>
        <v/>
      </c>
      <c r="S16" s="30" t="str">
        <f aca="false">IF(N16&lt;&gt;"임대중","",IF(E16="상가",IF(I16="","확인 필요",TEXT(MAX(0,10-($C$6-I16)/365.25),"0.0")&amp;"년"),IF(E16="주택",IF(L16="있음","소진(1회)",IF(L16="없음",IF(K16="","확인 필요",TEXT(EDATE(K16,24),"yyyy-mm")&amp;"까지"),"확인 필요")),"확인 필요")))</f>
        <v>확인 필요</v>
      </c>
      <c r="T16" s="30" t="str">
        <f aca="false">IF(N16="공실","공실",IF(N16="자가사용","자가사용",IF(K16="","만료일 없음",IF(K16&lt;$C$6,"만료 +"&amp;TEXT($C$6-K16,"0")&amp;"일",IF(K16-$C$6&lt;=30,"임박 "&amp;TEXT(K16-$C$6,"0")&amp;"일","유효")))))</f>
        <v>임박 8일</v>
      </c>
      <c r="U16" s="29" t="n">
        <f aca="false">IF(N16&lt;&gt;"임대중",0,IF(G16="",0,G16)+IF(H16="",0,H16))</f>
        <v>0</v>
      </c>
    </row>
    <row r="17" customFormat="false" ht="18" hidden="false" customHeight="true" outlineLevel="0" collapsed="false">
      <c r="A17" s="23" t="s">
        <v>108</v>
      </c>
      <c r="B17" s="23" t="s">
        <v>109</v>
      </c>
      <c r="C17" s="24" t="n">
        <v>252.09</v>
      </c>
      <c r="D17" s="25" t="s">
        <v>110</v>
      </c>
      <c r="E17" s="25" t="s">
        <v>100</v>
      </c>
      <c r="F17" s="26" t="n">
        <v>50000000</v>
      </c>
      <c r="G17" s="26" t="n">
        <v>4550000</v>
      </c>
      <c r="H17" s="26"/>
      <c r="I17" s="27"/>
      <c r="J17" s="27"/>
      <c r="K17" s="27" t="n">
        <v>46129</v>
      </c>
      <c r="L17" s="25" t="s">
        <v>94</v>
      </c>
      <c r="M17" s="25" t="s">
        <v>93</v>
      </c>
      <c r="N17" s="25" t="s">
        <v>101</v>
      </c>
      <c r="O17" s="23"/>
      <c r="P17" s="28" t="n">
        <f aca="false">IF(C17="","",C17/3.305785)</f>
        <v>76.257227859646</v>
      </c>
      <c r="Q17" s="29" t="n">
        <f aca="false">IF(OR(N17&lt;&gt;"임대중",E17&lt;&gt;"상가",F17=""),"",F17+G17*100)</f>
        <v>505000000</v>
      </c>
      <c r="R17" s="30" t="str">
        <f aca="false">IF(Q17="","",IF(Q17&lt;=$C$7,"○ 전면적용","× 초과 (5%상한 미적용)"))</f>
        <v>○ 전면적용</v>
      </c>
      <c r="S17" s="30" t="str">
        <f aca="false">IF(N17&lt;&gt;"임대중","",IF(E17="상가",IF(I17="","확인 필요",TEXT(MAX(0,10-($C$6-I17)/365.25),"0.0")&amp;"년"),IF(E17="주택",IF(L17="있음","소진(1회)",IF(L17="없음",IF(K17="","확인 필요",TEXT(EDATE(K17,24),"yyyy-mm")&amp;"까지"),"확인 필요")),"확인 필요")))</f>
        <v>확인 필요</v>
      </c>
      <c r="T17" s="30" t="str">
        <f aca="false">IF(N17="공실","공실",IF(N17="자가사용","자가사용",IF(K17="","만료일 없음",IF(K17&lt;$C$6,"만료 +"&amp;TEXT($C$6-K17,"0")&amp;"일",IF(K17-$C$6&lt;=30,"임박 "&amp;TEXT(K17-$C$6,"0")&amp;"일","유효")))))</f>
        <v>만료 +128일</v>
      </c>
      <c r="U17" s="29" t="n">
        <f aca="false">IF(N17&lt;&gt;"임대중",0,IF(G17="",0,G17)+IF(H17="",0,H17))</f>
        <v>4550000</v>
      </c>
    </row>
    <row r="18" customFormat="false" ht="18" hidden="false" customHeight="true" outlineLevel="0" collapsed="false">
      <c r="A18" s="23" t="s">
        <v>111</v>
      </c>
      <c r="B18" s="23" t="s">
        <v>112</v>
      </c>
      <c r="C18" s="24" t="n">
        <v>169.06</v>
      </c>
      <c r="D18" s="25" t="s">
        <v>113</v>
      </c>
      <c r="E18" s="25" t="s">
        <v>100</v>
      </c>
      <c r="F18" s="26" t="n">
        <v>30000000</v>
      </c>
      <c r="G18" s="26" t="n">
        <v>2600000</v>
      </c>
      <c r="H18" s="26"/>
      <c r="I18" s="27"/>
      <c r="J18" s="27"/>
      <c r="K18" s="27" t="n">
        <v>45777</v>
      </c>
      <c r="L18" s="25" t="s">
        <v>94</v>
      </c>
      <c r="M18" s="25" t="s">
        <v>93</v>
      </c>
      <c r="N18" s="25" t="s">
        <v>101</v>
      </c>
      <c r="O18" s="23" t="s">
        <v>114</v>
      </c>
      <c r="P18" s="28" t="n">
        <f aca="false">IF(C18="","",C18/3.305785)</f>
        <v>51.1406519177744</v>
      </c>
      <c r="Q18" s="29" t="n">
        <f aca="false">IF(OR(N18&lt;&gt;"임대중",E18&lt;&gt;"상가",F18=""),"",F18+G18*100)</f>
        <v>290000000</v>
      </c>
      <c r="R18" s="30" t="str">
        <f aca="false">IF(Q18="","",IF(Q18&lt;=$C$7,"○ 전면적용","× 초과 (5%상한 미적용)"))</f>
        <v>○ 전면적용</v>
      </c>
      <c r="S18" s="30" t="str">
        <f aca="false">IF(N18&lt;&gt;"임대중","",IF(E18="상가",IF(I18="","확인 필요",TEXT(MAX(0,10-($C$6-I18)/365.25),"0.0")&amp;"년"),IF(E18="주택",IF(L18="있음","소진(1회)",IF(L18="없음",IF(K18="","확인 필요",TEXT(EDATE(K18,24),"yyyy-mm")&amp;"까지"),"확인 필요")),"확인 필요")))</f>
        <v>확인 필요</v>
      </c>
      <c r="T18" s="30" t="str">
        <f aca="false">IF(N18="공실","공실",IF(N18="자가사용","자가사용",IF(K18="","만료일 없음",IF(K18&lt;$C$6,"만료 +"&amp;TEXT($C$6-K18,"0")&amp;"일",IF(K18-$C$6&lt;=30,"임박 "&amp;TEXT(K18-$C$6,"0")&amp;"일","유효")))))</f>
        <v>만료 +480일</v>
      </c>
      <c r="U18" s="29" t="n">
        <f aca="false">IF(N18&lt;&gt;"임대중",0,IF(G18="",0,G18)+IF(H18="",0,H18))</f>
        <v>2600000</v>
      </c>
    </row>
    <row r="19" customFormat="false" ht="18" hidden="false" customHeight="true" outlineLevel="0" collapsed="false">
      <c r="A19" s="23" t="s">
        <v>111</v>
      </c>
      <c r="B19" s="23"/>
      <c r="C19" s="24" t="n">
        <v>83.03</v>
      </c>
      <c r="D19" s="23" t="s">
        <v>115</v>
      </c>
      <c r="E19" s="25" t="s">
        <v>93</v>
      </c>
      <c r="F19" s="26"/>
      <c r="G19" s="26"/>
      <c r="H19" s="26"/>
      <c r="I19" s="27"/>
      <c r="J19" s="27"/>
      <c r="K19" s="27"/>
      <c r="L19" s="25" t="s">
        <v>94</v>
      </c>
      <c r="M19" s="25" t="s">
        <v>93</v>
      </c>
      <c r="N19" s="25" t="s">
        <v>95</v>
      </c>
      <c r="O19" s="25" t="s">
        <v>116</v>
      </c>
      <c r="P19" s="28" t="n">
        <f aca="false">IF(C19="","",C19/3.305785)</f>
        <v>25.1165759418716</v>
      </c>
      <c r="Q19" s="29" t="str">
        <f aca="false">IF(OR(N19&lt;&gt;"임대중",E19&lt;&gt;"상가",F19=""),"",F19+G19*100)</f>
        <v/>
      </c>
      <c r="R19" s="30" t="str">
        <f aca="false">IF(Q19="","",IF(Q19&lt;=$C$7,"○ 전면적용","× 초과 (5%상한 미적용)"))</f>
        <v/>
      </c>
      <c r="S19" s="30" t="str">
        <f aca="false">IF(N19&lt;&gt;"임대중","",IF(E19="상가",IF(I19="","확인 필요",TEXT(MAX(0,10-($C$6-I19)/365.25),"0.0")&amp;"년"),IF(E19="주택",IF(L19="있음","소진(1회)",IF(L19="없음",IF(K19="","확인 필요",TEXT(EDATE(K19,24),"yyyy-mm")&amp;"까지"),"확인 필요")),"확인 필요")))</f>
        <v/>
      </c>
      <c r="T19" s="30" t="str">
        <f aca="false">IF(N19="공실","공실",IF(N19="자가사용","자가사용",IF(K19="","만료일 없음",IF(K19&lt;$C$6,"만료 +"&amp;TEXT($C$6-K19,"0")&amp;"일",IF(K19-$C$6&lt;=30,"임박 "&amp;TEXT(K19-$C$6,"0")&amp;"일","유효")))))</f>
        <v>자가사용</v>
      </c>
      <c r="U19" s="29" t="n">
        <f aca="false">IF(N19&lt;&gt;"임대중",0,IF(G19="",0,G19)+IF(H19="",0,H19))</f>
        <v>0</v>
      </c>
    </row>
    <row r="20" customFormat="false" ht="18" hidden="false" customHeight="true" outlineLevel="0" collapsed="false">
      <c r="A20" s="23" t="s">
        <v>117</v>
      </c>
      <c r="B20" s="23" t="s">
        <v>118</v>
      </c>
      <c r="C20" s="24" t="n">
        <v>183.67</v>
      </c>
      <c r="D20" s="25" t="s">
        <v>104</v>
      </c>
      <c r="E20" s="25" t="s">
        <v>100</v>
      </c>
      <c r="F20" s="26" t="n">
        <v>10000000</v>
      </c>
      <c r="G20" s="26" t="n">
        <v>1650000</v>
      </c>
      <c r="H20" s="26"/>
      <c r="I20" s="27"/>
      <c r="J20" s="27"/>
      <c r="K20" s="27" t="n">
        <v>46265</v>
      </c>
      <c r="L20" s="25" t="s">
        <v>94</v>
      </c>
      <c r="M20" s="25" t="s">
        <v>93</v>
      </c>
      <c r="N20" s="25" t="s">
        <v>101</v>
      </c>
      <c r="O20" s="25" t="s">
        <v>119</v>
      </c>
      <c r="P20" s="28" t="n">
        <f aca="false">IF(C20="","",C20/3.305785)</f>
        <v>55.5601770835066</v>
      </c>
      <c r="Q20" s="29" t="n">
        <f aca="false">IF(OR(N20&lt;&gt;"임대중",E20&lt;&gt;"상가",F20=""),"",F20+G20*100)</f>
        <v>175000000</v>
      </c>
      <c r="R20" s="30" t="str">
        <f aca="false">IF(Q20="","",IF(Q20&lt;=$C$7,"○ 전면적용","× 초과 (5%상한 미적용)"))</f>
        <v>○ 전면적용</v>
      </c>
      <c r="S20" s="30" t="str">
        <f aca="false">IF(N20&lt;&gt;"임대중","",IF(E20="상가",IF(I20="","확인 필요",TEXT(MAX(0,10-($C$6-I20)/365.25),"0.0")&amp;"년"),IF(E20="주택",IF(L20="있음","소진(1회)",IF(L20="없음",IF(K20="","확인 필요",TEXT(EDATE(K20,24),"yyyy-mm")&amp;"까지"),"확인 필요")),"확인 필요")))</f>
        <v>확인 필요</v>
      </c>
      <c r="T20" s="30" t="str">
        <f aca="false">IF(N20="공실","공실",IF(N20="자가사용","자가사용",IF(K20="","만료일 없음",IF(K20&lt;$C$6,"만료 +"&amp;TEXT($C$6-K20,"0")&amp;"일",IF(K20-$C$6&lt;=30,"임박 "&amp;TEXT(K20-$C$6,"0")&amp;"일","유효")))))</f>
        <v>임박 8일</v>
      </c>
      <c r="U20" s="29" t="n">
        <f aca="false">IF(N20&lt;&gt;"임대중",0,IF(G20="",0,G20)+IF(H20="",0,H20))</f>
        <v>1650000</v>
      </c>
    </row>
    <row r="21" customFormat="false" ht="15" hidden="false" customHeight="false" outlineLevel="0" collapsed="false">
      <c r="A21" s="9" t="s">
        <v>120</v>
      </c>
      <c r="B21" s="9"/>
      <c r="C21" s="31" t="n">
        <f aca="false">SUM(C13:C20)</f>
        <v>1441.15</v>
      </c>
      <c r="D21" s="32"/>
      <c r="E21" s="32"/>
      <c r="F21" s="33" t="n">
        <f aca="false">SUM(F13:F20)</f>
        <v>290000000</v>
      </c>
      <c r="G21" s="33" t="n">
        <f aca="false">SUM(G13:G20)</f>
        <v>19460000</v>
      </c>
      <c r="H21" s="33" t="n">
        <f aca="false">SUM(H13:H20)</f>
        <v>0</v>
      </c>
      <c r="I21" s="32"/>
      <c r="J21" s="32"/>
      <c r="K21" s="32"/>
      <c r="L21" s="32"/>
      <c r="M21" s="32"/>
      <c r="N21" s="32"/>
      <c r="O21" s="32"/>
      <c r="P21" s="34" t="n">
        <f aca="false">SUM(P13:P20)</f>
        <v>435.947891348046</v>
      </c>
      <c r="Q21" s="32"/>
      <c r="R21" s="32"/>
      <c r="S21" s="32"/>
      <c r="T21" s="32"/>
      <c r="U21" s="33" t="n">
        <f aca="false">SUM(U13:U20)</f>
        <v>19460000</v>
      </c>
    </row>
  </sheetData>
  <mergeCells count="16">
    <mergeCell ref="A1:H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21:B21"/>
  </mergeCells>
  <dataValidations count="4">
    <dataValidation allowBlank="true" errorStyle="stop" operator="between" showDropDown="false" showErrorMessage="false" showInputMessage="false" sqref="E13:E212" type="list">
      <formula1>"상가,주택,미확인"</formula1>
      <formula2>0</formula2>
    </dataValidation>
    <dataValidation allowBlank="true" errorStyle="stop" operator="between" showDropDown="false" showErrorMessage="false" showInputMessage="false" sqref="L13:L212" type="list">
      <formula1>"있음,없음,모름"</formula1>
      <formula2>0</formula2>
    </dataValidation>
    <dataValidation allowBlank="true" errorStyle="stop" operator="between" showDropDown="false" showErrorMessage="false" showInputMessage="false" sqref="M13:M212" type="list">
      <formula1>"사업자등록,주민등록,미확인"</formula1>
      <formula2>0</formula2>
    </dataValidation>
    <dataValidation allowBlank="true" errorStyle="stop" operator="between" showDropDown="false" showErrorMessage="false" showInputMessage="false" sqref="N13:N212" type="list">
      <formula1>"임대중,공실,자가사용"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4"/>
    <col collapsed="false" customWidth="true" hidden="false" outlineLevel="0" max="20" min="19" style="0" width="15"/>
    <col collapsed="false" customWidth="true" hidden="false" outlineLevel="0" max="21" min="21" style="0" width="14"/>
  </cols>
  <sheetData>
    <row r="1" customFormat="false" ht="23.1" hidden="false" customHeight="false" outlineLevel="0" collapsed="false">
      <c r="A1" s="35" t="s">
        <v>121</v>
      </c>
      <c r="B1" s="35"/>
      <c r="C1" s="35"/>
      <c r="D1" s="35"/>
      <c r="E1" s="35"/>
      <c r="F1" s="35"/>
      <c r="G1" s="35"/>
      <c r="H1" s="35"/>
    </row>
    <row r="3" customFormat="false" ht="15" hidden="false" customHeight="false" outlineLevel="0" collapsed="false">
      <c r="A3" s="9" t="s">
        <v>60</v>
      </c>
      <c r="B3" s="9"/>
      <c r="C3" s="10" t="s">
        <v>122</v>
      </c>
      <c r="D3" s="10"/>
      <c r="E3" s="10"/>
      <c r="F3" s="11" t="s">
        <v>62</v>
      </c>
    </row>
    <row r="4" customFormat="false" ht="15" hidden="false" customHeight="false" outlineLevel="0" collapsed="false">
      <c r="A4" s="9" t="s">
        <v>63</v>
      </c>
      <c r="B4" s="9"/>
      <c r="C4" s="10" t="s">
        <v>64</v>
      </c>
      <c r="D4" s="10"/>
      <c r="E4" s="10"/>
      <c r="F4" s="12" t="s">
        <v>65</v>
      </c>
    </row>
    <row r="5" customFormat="false" ht="15" hidden="false" customHeight="false" outlineLevel="0" collapsed="false">
      <c r="A5" s="9" t="s">
        <v>66</v>
      </c>
      <c r="B5" s="9"/>
      <c r="C5" s="13" t="n">
        <v>45778</v>
      </c>
      <c r="D5" s="13"/>
      <c r="E5" s="13"/>
    </row>
    <row r="6" customFormat="false" ht="15" hidden="false" customHeight="false" outlineLevel="0" collapsed="false">
      <c r="A6" s="9" t="s">
        <v>67</v>
      </c>
      <c r="B6" s="9"/>
      <c r="C6" s="13" t="n">
        <v>46257</v>
      </c>
      <c r="D6" s="13"/>
      <c r="E6" s="13"/>
    </row>
    <row r="7" customFormat="false" ht="15" hidden="false" customHeight="false" outlineLevel="0" collapsed="false">
      <c r="A7" s="9" t="s">
        <v>68</v>
      </c>
      <c r="B7" s="9"/>
      <c r="C7" s="14" t="n">
        <v>900000000</v>
      </c>
      <c r="D7" s="14"/>
      <c r="E7" s="14"/>
    </row>
    <row r="8" customFormat="false" ht="15" hidden="false" customHeight="false" outlineLevel="0" collapsed="false">
      <c r="A8" s="9" t="s">
        <v>69</v>
      </c>
      <c r="B8" s="9"/>
      <c r="C8" s="15" t="s">
        <v>123</v>
      </c>
      <c r="D8" s="15"/>
      <c r="E8" s="15"/>
    </row>
    <row r="9" customFormat="false" ht="15" hidden="false" customHeight="false" outlineLevel="0" collapsed="false">
      <c r="A9" s="9" t="s">
        <v>71</v>
      </c>
      <c r="B9" s="9"/>
      <c r="C9" s="13" t="n">
        <v>46257</v>
      </c>
      <c r="D9" s="13"/>
      <c r="E9" s="13"/>
    </row>
    <row r="11" customFormat="false" ht="13.5" hidden="false" customHeight="true" outlineLevel="0" collapsed="false">
      <c r="A11" s="16" t="s">
        <v>72</v>
      </c>
      <c r="B11" s="17" t="s">
        <v>73</v>
      </c>
      <c r="C11" s="17" t="s">
        <v>73</v>
      </c>
      <c r="D11" s="18" t="s">
        <v>74</v>
      </c>
      <c r="E11" s="17" t="s">
        <v>73</v>
      </c>
      <c r="F11" s="18" t="s">
        <v>74</v>
      </c>
      <c r="G11" s="18" t="s">
        <v>74</v>
      </c>
      <c r="H11" s="17" t="s">
        <v>73</v>
      </c>
      <c r="I11" s="19" t="s">
        <v>75</v>
      </c>
      <c r="J11" s="17" t="s">
        <v>73</v>
      </c>
      <c r="K11" s="18" t="s">
        <v>74</v>
      </c>
      <c r="L11" s="19" t="s">
        <v>75</v>
      </c>
      <c r="M11" s="19" t="s">
        <v>75</v>
      </c>
      <c r="N11" s="18" t="s">
        <v>74</v>
      </c>
      <c r="O11" s="20" t="s">
        <v>76</v>
      </c>
      <c r="P11" s="21"/>
      <c r="Q11" s="21"/>
      <c r="R11" s="21"/>
      <c r="S11" s="21"/>
      <c r="T11" s="21"/>
      <c r="U11" s="21"/>
    </row>
    <row r="12" customFormat="false" ht="31.5" hidden="false" customHeight="true" outlineLevel="0" collapsed="false">
      <c r="A12" s="22" t="s">
        <v>77</v>
      </c>
      <c r="B12" s="22" t="s">
        <v>78</v>
      </c>
      <c r="C12" s="22" t="s">
        <v>79</v>
      </c>
      <c r="D12" s="22" t="s">
        <v>80</v>
      </c>
      <c r="E12" s="22" t="s">
        <v>14</v>
      </c>
      <c r="F12" s="22" t="s">
        <v>81</v>
      </c>
      <c r="G12" s="22" t="s">
        <v>82</v>
      </c>
      <c r="H12" s="22" t="s">
        <v>83</v>
      </c>
      <c r="I12" s="22" t="s">
        <v>23</v>
      </c>
      <c r="J12" s="22" t="s">
        <v>84</v>
      </c>
      <c r="K12" s="22" t="s">
        <v>20</v>
      </c>
      <c r="L12" s="22" t="s">
        <v>25</v>
      </c>
      <c r="M12" s="22" t="s">
        <v>27</v>
      </c>
      <c r="N12" s="22" t="s">
        <v>16</v>
      </c>
      <c r="O12" s="22" t="s">
        <v>85</v>
      </c>
      <c r="P12" s="22" t="s">
        <v>86</v>
      </c>
      <c r="Q12" s="22" t="s">
        <v>87</v>
      </c>
      <c r="R12" s="22" t="s">
        <v>51</v>
      </c>
      <c r="S12" s="22" t="s">
        <v>88</v>
      </c>
      <c r="T12" s="22" t="s">
        <v>89</v>
      </c>
      <c r="U12" s="22" t="s">
        <v>90</v>
      </c>
    </row>
    <row r="13" customFormat="false" ht="18" hidden="false" customHeight="true" outlineLevel="0" collapsed="false">
      <c r="A13" s="23" t="s">
        <v>91</v>
      </c>
      <c r="B13" s="23" t="s">
        <v>124</v>
      </c>
      <c r="C13" s="24" t="n">
        <v>317.22</v>
      </c>
      <c r="D13" s="25" t="s">
        <v>92</v>
      </c>
      <c r="E13" s="25" t="s">
        <v>100</v>
      </c>
      <c r="F13" s="26" t="n">
        <v>50000000</v>
      </c>
      <c r="G13" s="26" t="n">
        <v>4580000</v>
      </c>
      <c r="H13" s="26"/>
      <c r="I13" s="27"/>
      <c r="J13" s="27"/>
      <c r="K13" s="27"/>
      <c r="L13" s="25" t="s">
        <v>94</v>
      </c>
      <c r="M13" s="25" t="s">
        <v>93</v>
      </c>
      <c r="N13" s="25" t="s">
        <v>101</v>
      </c>
      <c r="O13" s="25" t="s">
        <v>125</v>
      </c>
      <c r="P13" s="28" t="n">
        <f aca="false">IF(C13="","",C13/3.305785)</f>
        <v>95.9590535984645</v>
      </c>
      <c r="Q13" s="29" t="n">
        <f aca="false">IF(OR(N13&lt;&gt;"임대중",E13&lt;&gt;"상가",F13=""),"",F13+G13*100)</f>
        <v>508000000</v>
      </c>
      <c r="R13" s="30" t="str">
        <f aca="false">IF(Q13="","",IF(Q13&lt;=$C$7,"○ 전면적용","× 초과 (5%상한 미적용)"))</f>
        <v>○ 전면적용</v>
      </c>
      <c r="S13" s="30" t="str">
        <f aca="false">IF(N13&lt;&gt;"임대중","",IF(E13="상가",IF(I13="","확인 필요",TEXT(MAX(0,10-($C$6-I13)/365.25),"0.0")&amp;"년"),IF(E13="주택",IF(L13="있음","소진(1회)",IF(L13="없음",IF(K13="","확인 필요",TEXT(EDATE(K13,24),"yyyy-mm")&amp;"까지"),"확인 필요")),"확인 필요")))</f>
        <v>확인 필요</v>
      </c>
      <c r="T13" s="30" t="str">
        <f aca="false">IF(N13="공실","공실",IF(N13="자가사용","자가사용",IF(K13="","만료일 없음",IF(K13&lt;$C$6,"만료 +"&amp;TEXT($C$6-K13,"0")&amp;"일",IF(K13-$C$6&lt;=30,"임박 "&amp;TEXT(K13-$C$6,"0")&amp;"일","유효")))))</f>
        <v>만료일 없음</v>
      </c>
      <c r="U13" s="29" t="n">
        <f aca="false">IF(N13&lt;&gt;"임대중",0,IF(G13="",0,G13)+IF(H13="",0,H13))</f>
        <v>4580000</v>
      </c>
    </row>
    <row r="14" customFormat="false" ht="18" hidden="false" customHeight="true" outlineLevel="0" collapsed="false">
      <c r="A14" s="23" t="s">
        <v>97</v>
      </c>
      <c r="B14" s="23" t="s">
        <v>126</v>
      </c>
      <c r="C14" s="24" t="n">
        <v>78.39</v>
      </c>
      <c r="D14" s="25" t="s">
        <v>99</v>
      </c>
      <c r="E14" s="25" t="s">
        <v>100</v>
      </c>
      <c r="F14" s="26" t="n">
        <v>60000000</v>
      </c>
      <c r="G14" s="26" t="n">
        <v>3450000</v>
      </c>
      <c r="H14" s="26"/>
      <c r="I14" s="27"/>
      <c r="J14" s="27"/>
      <c r="K14" s="27"/>
      <c r="L14" s="25" t="s">
        <v>94</v>
      </c>
      <c r="M14" s="25" t="s">
        <v>93</v>
      </c>
      <c r="N14" s="25" t="s">
        <v>101</v>
      </c>
      <c r="O14" s="25" t="s">
        <v>127</v>
      </c>
      <c r="P14" s="28" t="n">
        <f aca="false">IF(C14="","",C14/3.305785)</f>
        <v>23.7129758892366</v>
      </c>
      <c r="Q14" s="29" t="n">
        <f aca="false">IF(OR(N14&lt;&gt;"임대중",E14&lt;&gt;"상가",F14=""),"",F14+G14*100)</f>
        <v>405000000</v>
      </c>
      <c r="R14" s="30" t="str">
        <f aca="false">IF(Q14="","",IF(Q14&lt;=$C$7,"○ 전면적용","× 초과 (5%상한 미적용)"))</f>
        <v>○ 전면적용</v>
      </c>
      <c r="S14" s="30" t="str">
        <f aca="false">IF(N14&lt;&gt;"임대중","",IF(E14="상가",IF(I14="","확인 필요",TEXT(MAX(0,10-($C$6-I14)/365.25),"0.0")&amp;"년"),IF(E14="주택",IF(L14="있음","소진(1회)",IF(L14="없음",IF(K14="","확인 필요",TEXT(EDATE(K14,24),"yyyy-mm")&amp;"까지"),"확인 필요")),"확인 필요")))</f>
        <v>확인 필요</v>
      </c>
      <c r="T14" s="30" t="str">
        <f aca="false">IF(N14="공실","공실",IF(N14="자가사용","자가사용",IF(K14="","만료일 없음",IF(K14&lt;$C$6,"만료 +"&amp;TEXT($C$6-K14,"0")&amp;"일",IF(K14-$C$6&lt;=30,"임박 "&amp;TEXT(K14-$C$6,"0")&amp;"일","유효")))))</f>
        <v>만료일 없음</v>
      </c>
      <c r="U14" s="29" t="n">
        <f aca="false">IF(N14&lt;&gt;"임대중",0,IF(G14="",0,G14)+IF(H14="",0,H14))</f>
        <v>3450000</v>
      </c>
    </row>
    <row r="15" customFormat="false" ht="18" hidden="false" customHeight="true" outlineLevel="0" collapsed="false">
      <c r="A15" s="23" t="s">
        <v>97</v>
      </c>
      <c r="B15" s="23" t="s">
        <v>128</v>
      </c>
      <c r="C15" s="24" t="n">
        <v>105.6</v>
      </c>
      <c r="D15" s="25" t="s">
        <v>104</v>
      </c>
      <c r="E15" s="25" t="s">
        <v>100</v>
      </c>
      <c r="F15" s="26" t="n">
        <v>140000000</v>
      </c>
      <c r="G15" s="26" t="n">
        <v>8160000</v>
      </c>
      <c r="H15" s="26"/>
      <c r="I15" s="27"/>
      <c r="J15" s="27"/>
      <c r="K15" s="27"/>
      <c r="L15" s="25" t="s">
        <v>94</v>
      </c>
      <c r="M15" s="25" t="s">
        <v>93</v>
      </c>
      <c r="N15" s="25" t="s">
        <v>101</v>
      </c>
      <c r="O15" s="23" t="s">
        <v>129</v>
      </c>
      <c r="P15" s="28" t="n">
        <f aca="false">IF(C15="","",C15/3.305785)</f>
        <v>31.9440011979</v>
      </c>
      <c r="Q15" s="29" t="n">
        <f aca="false">IF(OR(N15&lt;&gt;"임대중",E15&lt;&gt;"상가",F15=""),"",F15+G15*100)</f>
        <v>956000000</v>
      </c>
      <c r="R15" s="30" t="str">
        <f aca="false">IF(Q15="","",IF(Q15&lt;=$C$7,"○ 전면적용","× 초과 (5%상한 미적용)"))</f>
        <v>× 초과 (5%상한 미적용)</v>
      </c>
      <c r="S15" s="30" t="str">
        <f aca="false">IF(N15&lt;&gt;"임대중","",IF(E15="상가",IF(I15="","확인 필요",TEXT(MAX(0,10-($C$6-I15)/365.25),"0.0")&amp;"년"),IF(E15="주택",IF(L15="있음","소진(1회)",IF(L15="없음",IF(K15="","확인 필요",TEXT(EDATE(K15,24),"yyyy-mm")&amp;"까지"),"확인 필요")),"확인 필요")))</f>
        <v>확인 필요</v>
      </c>
      <c r="T15" s="30" t="str">
        <f aca="false">IF(N15="공실","공실",IF(N15="자가사용","자가사용",IF(K15="","만료일 없음",IF(K15&lt;$C$6,"만료 +"&amp;TEXT($C$6-K15,"0")&amp;"일",IF(K15-$C$6&lt;=30,"임박 "&amp;TEXT(K15-$C$6,"0")&amp;"일","유효")))))</f>
        <v>만료일 없음</v>
      </c>
      <c r="U15" s="29" t="n">
        <f aca="false">IF(N15&lt;&gt;"임대중",0,IF(G15="",0,G15)+IF(H15="",0,H15))</f>
        <v>8160000</v>
      </c>
    </row>
    <row r="16" customFormat="false" ht="18" hidden="false" customHeight="true" outlineLevel="0" collapsed="false">
      <c r="A16" s="23" t="s">
        <v>106</v>
      </c>
      <c r="B16" s="23" t="s">
        <v>128</v>
      </c>
      <c r="C16" s="24" t="n">
        <v>252.09</v>
      </c>
      <c r="D16" s="25" t="s">
        <v>104</v>
      </c>
      <c r="E16" s="25" t="s">
        <v>100</v>
      </c>
      <c r="F16" s="26"/>
      <c r="G16" s="26"/>
      <c r="H16" s="26"/>
      <c r="I16" s="27"/>
      <c r="J16" s="27"/>
      <c r="K16" s="27"/>
      <c r="L16" s="25" t="s">
        <v>94</v>
      </c>
      <c r="M16" s="25" t="s">
        <v>93</v>
      </c>
      <c r="N16" s="25" t="s">
        <v>101</v>
      </c>
      <c r="O16" s="23" t="s">
        <v>130</v>
      </c>
      <c r="P16" s="28" t="n">
        <f aca="false">IF(C16="","",C16/3.305785)</f>
        <v>76.257227859646</v>
      </c>
      <c r="Q16" s="29" t="str">
        <f aca="false">IF(OR(N16&lt;&gt;"임대중",E16&lt;&gt;"상가",F16=""),"",F16+G16*100)</f>
        <v/>
      </c>
      <c r="R16" s="30" t="str">
        <f aca="false">IF(Q16="","",IF(Q16&lt;=$C$7,"○ 전면적용","× 초과 (5%상한 미적용)"))</f>
        <v/>
      </c>
      <c r="S16" s="30" t="str">
        <f aca="false">IF(N16&lt;&gt;"임대중","",IF(E16="상가",IF(I16="","확인 필요",TEXT(MAX(0,10-($C$6-I16)/365.25),"0.0")&amp;"년"),IF(E16="주택",IF(L16="있음","소진(1회)",IF(L16="없음",IF(K16="","확인 필요",TEXT(EDATE(K16,24),"yyyy-mm")&amp;"까지"),"확인 필요")),"확인 필요")))</f>
        <v>확인 필요</v>
      </c>
      <c r="T16" s="30" t="str">
        <f aca="false">IF(N16="공실","공실",IF(N16="자가사용","자가사용",IF(K16="","만료일 없음",IF(K16&lt;$C$6,"만료 +"&amp;TEXT($C$6-K16,"0")&amp;"일",IF(K16-$C$6&lt;=30,"임박 "&amp;TEXT(K16-$C$6,"0")&amp;"일","유효")))))</f>
        <v>만료일 없음</v>
      </c>
      <c r="U16" s="29" t="n">
        <f aca="false">IF(N16&lt;&gt;"임대중",0,IF(G16="",0,G16)+IF(H16="",0,H16))</f>
        <v>0</v>
      </c>
    </row>
    <row r="17" customFormat="false" ht="18" hidden="false" customHeight="true" outlineLevel="0" collapsed="false">
      <c r="A17" s="23" t="s">
        <v>108</v>
      </c>
      <c r="B17" s="23" t="s">
        <v>131</v>
      </c>
      <c r="C17" s="24" t="n">
        <v>252.09</v>
      </c>
      <c r="D17" s="25" t="s">
        <v>110</v>
      </c>
      <c r="E17" s="25" t="s">
        <v>100</v>
      </c>
      <c r="F17" s="26" t="n">
        <v>50000000</v>
      </c>
      <c r="G17" s="26" t="n">
        <v>4550000</v>
      </c>
      <c r="H17" s="26"/>
      <c r="I17" s="27"/>
      <c r="J17" s="27"/>
      <c r="K17" s="27"/>
      <c r="L17" s="25" t="s">
        <v>94</v>
      </c>
      <c r="M17" s="25" t="s">
        <v>93</v>
      </c>
      <c r="N17" s="25" t="s">
        <v>101</v>
      </c>
      <c r="O17" s="25" t="s">
        <v>132</v>
      </c>
      <c r="P17" s="28" t="n">
        <f aca="false">IF(C17="","",C17/3.305785)</f>
        <v>76.257227859646</v>
      </c>
      <c r="Q17" s="29" t="n">
        <f aca="false">IF(OR(N17&lt;&gt;"임대중",E17&lt;&gt;"상가",F17=""),"",F17+G17*100)</f>
        <v>505000000</v>
      </c>
      <c r="R17" s="30" t="str">
        <f aca="false">IF(Q17="","",IF(Q17&lt;=$C$7,"○ 전면적용","× 초과 (5%상한 미적용)"))</f>
        <v>○ 전면적용</v>
      </c>
      <c r="S17" s="30" t="str">
        <f aca="false">IF(N17&lt;&gt;"임대중","",IF(E17="상가",IF(I17="","확인 필요",TEXT(MAX(0,10-($C$6-I17)/365.25),"0.0")&amp;"년"),IF(E17="주택",IF(L17="있음","소진(1회)",IF(L17="없음",IF(K17="","확인 필요",TEXT(EDATE(K17,24),"yyyy-mm")&amp;"까지"),"확인 필요")),"확인 필요")))</f>
        <v>확인 필요</v>
      </c>
      <c r="T17" s="30" t="str">
        <f aca="false">IF(N17="공실","공실",IF(N17="자가사용","자가사용",IF(K17="","만료일 없음",IF(K17&lt;$C$6,"만료 +"&amp;TEXT($C$6-K17,"0")&amp;"일",IF(K17-$C$6&lt;=30,"임박 "&amp;TEXT(K17-$C$6,"0")&amp;"일","유효")))))</f>
        <v>만료일 없음</v>
      </c>
      <c r="U17" s="29" t="n">
        <f aca="false">IF(N17&lt;&gt;"임대중",0,IF(G17="",0,G17)+IF(H17="",0,H17))</f>
        <v>4550000</v>
      </c>
    </row>
    <row r="18" customFormat="false" ht="18" hidden="false" customHeight="true" outlineLevel="0" collapsed="false">
      <c r="A18" s="23" t="s">
        <v>111</v>
      </c>
      <c r="B18" s="23" t="s">
        <v>133</v>
      </c>
      <c r="C18" s="24" t="n">
        <v>169.06</v>
      </c>
      <c r="D18" s="25" t="s">
        <v>113</v>
      </c>
      <c r="E18" s="25" t="s">
        <v>100</v>
      </c>
      <c r="F18" s="26" t="n">
        <v>30000000</v>
      </c>
      <c r="G18" s="26" t="n">
        <v>3060000</v>
      </c>
      <c r="H18" s="26"/>
      <c r="I18" s="27"/>
      <c r="J18" s="27"/>
      <c r="K18" s="27"/>
      <c r="L18" s="25" t="s">
        <v>94</v>
      </c>
      <c r="M18" s="25" t="s">
        <v>93</v>
      </c>
      <c r="N18" s="25" t="s">
        <v>101</v>
      </c>
      <c r="O18" s="25" t="s">
        <v>134</v>
      </c>
      <c r="P18" s="28" t="n">
        <f aca="false">IF(C18="","",C18/3.305785)</f>
        <v>51.1406519177744</v>
      </c>
      <c r="Q18" s="29" t="n">
        <f aca="false">IF(OR(N18&lt;&gt;"임대중",E18&lt;&gt;"상가",F18=""),"",F18+G18*100)</f>
        <v>336000000</v>
      </c>
      <c r="R18" s="30" t="str">
        <f aca="false">IF(Q18="","",IF(Q18&lt;=$C$7,"○ 전면적용","× 초과 (5%상한 미적용)"))</f>
        <v>○ 전면적용</v>
      </c>
      <c r="S18" s="30" t="str">
        <f aca="false">IF(N18&lt;&gt;"임대중","",IF(E18="상가",IF(I18="","확인 필요",TEXT(MAX(0,10-($C$6-I18)/365.25),"0.0")&amp;"년"),IF(E18="주택",IF(L18="있음","소진(1회)",IF(L18="없음",IF(K18="","확인 필요",TEXT(EDATE(K18,24),"yyyy-mm")&amp;"까지"),"확인 필요")),"확인 필요")))</f>
        <v>확인 필요</v>
      </c>
      <c r="T18" s="30" t="str">
        <f aca="false">IF(N18="공실","공실",IF(N18="자가사용","자가사용",IF(K18="","만료일 없음",IF(K18&lt;$C$6,"만료 +"&amp;TEXT($C$6-K18,"0")&amp;"일",IF(K18-$C$6&lt;=30,"임박 "&amp;TEXT(K18-$C$6,"0")&amp;"일","유효")))))</f>
        <v>만료일 없음</v>
      </c>
      <c r="U18" s="29" t="n">
        <f aca="false">IF(N18&lt;&gt;"임대중",0,IF(G18="",0,G18)+IF(H18="",0,H18))</f>
        <v>3060000</v>
      </c>
    </row>
    <row r="19" customFormat="false" ht="18" hidden="false" customHeight="true" outlineLevel="0" collapsed="false">
      <c r="A19" s="23" t="s">
        <v>111</v>
      </c>
      <c r="B19" s="23" t="s">
        <v>135</v>
      </c>
      <c r="C19" s="24" t="n">
        <v>83.03</v>
      </c>
      <c r="D19" s="23" t="s">
        <v>115</v>
      </c>
      <c r="E19" s="25" t="s">
        <v>100</v>
      </c>
      <c r="F19" s="26" t="n">
        <v>30000000</v>
      </c>
      <c r="G19" s="26" t="n">
        <v>1440000</v>
      </c>
      <c r="H19" s="26"/>
      <c r="I19" s="27"/>
      <c r="J19" s="27"/>
      <c r="K19" s="27"/>
      <c r="L19" s="25" t="s">
        <v>94</v>
      </c>
      <c r="M19" s="25" t="s">
        <v>93</v>
      </c>
      <c r="N19" s="25" t="s">
        <v>101</v>
      </c>
      <c r="O19" s="25" t="s">
        <v>136</v>
      </c>
      <c r="P19" s="28" t="n">
        <f aca="false">IF(C19="","",C19/3.305785)</f>
        <v>25.1165759418716</v>
      </c>
      <c r="Q19" s="29" t="n">
        <f aca="false">IF(OR(N19&lt;&gt;"임대중",E19&lt;&gt;"상가",F19=""),"",F19+G19*100)</f>
        <v>174000000</v>
      </c>
      <c r="R19" s="30" t="str">
        <f aca="false">IF(Q19="","",IF(Q19&lt;=$C$7,"○ 전면적용","× 초과 (5%상한 미적용)"))</f>
        <v>○ 전면적용</v>
      </c>
      <c r="S19" s="30" t="str">
        <f aca="false">IF(N19&lt;&gt;"임대중","",IF(E19="상가",IF(I19="","확인 필요",TEXT(MAX(0,10-($C$6-I19)/365.25),"0.0")&amp;"년"),IF(E19="주택",IF(L19="있음","소진(1회)",IF(L19="없음",IF(K19="","확인 필요",TEXT(EDATE(K19,24),"yyyy-mm")&amp;"까지"),"확인 필요")),"확인 필요")))</f>
        <v>확인 필요</v>
      </c>
      <c r="T19" s="30" t="str">
        <f aca="false">IF(N19="공실","공실",IF(N19="자가사용","자가사용",IF(K19="","만료일 없음",IF(K19&lt;$C$6,"만료 +"&amp;TEXT($C$6-K19,"0")&amp;"일",IF(K19-$C$6&lt;=30,"임박 "&amp;TEXT(K19-$C$6,"0")&amp;"일","유효")))))</f>
        <v>만료일 없음</v>
      </c>
      <c r="U19" s="29" t="n">
        <f aca="false">IF(N19&lt;&gt;"임대중",0,IF(G19="",0,G19)+IF(H19="",0,H19))</f>
        <v>1440000</v>
      </c>
    </row>
    <row r="20" customFormat="false" ht="18" hidden="false" customHeight="true" outlineLevel="0" collapsed="false">
      <c r="A20" s="23" t="s">
        <v>117</v>
      </c>
      <c r="B20" s="23" t="s">
        <v>137</v>
      </c>
      <c r="C20" s="24" t="n">
        <v>183.67</v>
      </c>
      <c r="D20" s="25" t="s">
        <v>104</v>
      </c>
      <c r="E20" s="25" t="s">
        <v>100</v>
      </c>
      <c r="F20" s="26" t="n">
        <v>10000000</v>
      </c>
      <c r="G20" s="26" t="n">
        <v>3430000</v>
      </c>
      <c r="H20" s="26"/>
      <c r="I20" s="27"/>
      <c r="J20" s="27"/>
      <c r="K20" s="27"/>
      <c r="L20" s="25" t="s">
        <v>94</v>
      </c>
      <c r="M20" s="25" t="s">
        <v>93</v>
      </c>
      <c r="N20" s="25" t="s">
        <v>101</v>
      </c>
      <c r="O20" s="25" t="s">
        <v>138</v>
      </c>
      <c r="P20" s="28" t="n">
        <f aca="false">IF(C20="","",C20/3.305785)</f>
        <v>55.5601770835066</v>
      </c>
      <c r="Q20" s="29" t="n">
        <f aca="false">IF(OR(N20&lt;&gt;"임대중",E20&lt;&gt;"상가",F20=""),"",F20+G20*100)</f>
        <v>353000000</v>
      </c>
      <c r="R20" s="30" t="str">
        <f aca="false">IF(Q20="","",IF(Q20&lt;=$C$7,"○ 전면적용","× 초과 (5%상한 미적용)"))</f>
        <v>○ 전면적용</v>
      </c>
      <c r="S20" s="30" t="str">
        <f aca="false">IF(N20&lt;&gt;"임대중","",IF(E20="상가",IF(I20="","확인 필요",TEXT(MAX(0,10-($C$6-I20)/365.25),"0.0")&amp;"년"),IF(E20="주택",IF(L20="있음","소진(1회)",IF(L20="없음",IF(K20="","확인 필요",TEXT(EDATE(K20,24),"yyyy-mm")&amp;"까지"),"확인 필요")),"확인 필요")))</f>
        <v>확인 필요</v>
      </c>
      <c r="T20" s="30" t="str">
        <f aca="false">IF(N20="공실","공실",IF(N20="자가사용","자가사용",IF(K20="","만료일 없음",IF(K20&lt;$C$6,"만료 +"&amp;TEXT($C$6-K20,"0")&amp;"일",IF(K20-$C$6&lt;=30,"임박 "&amp;TEXT(K20-$C$6,"0")&amp;"일","유효")))))</f>
        <v>만료일 없음</v>
      </c>
      <c r="U20" s="29" t="n">
        <f aca="false">IF(N20&lt;&gt;"임대중",0,IF(G20="",0,G20)+IF(H20="",0,H20))</f>
        <v>3430000</v>
      </c>
    </row>
    <row r="21" customFormat="false" ht="15" hidden="false" customHeight="false" outlineLevel="0" collapsed="false">
      <c r="A21" s="9" t="s">
        <v>120</v>
      </c>
      <c r="B21" s="9"/>
      <c r="C21" s="31" t="n">
        <f aca="false">SUM(C13:C20)</f>
        <v>1441.15</v>
      </c>
      <c r="D21" s="32"/>
      <c r="E21" s="32"/>
      <c r="F21" s="33" t="n">
        <f aca="false">SUM(F13:F20)</f>
        <v>370000000</v>
      </c>
      <c r="G21" s="33" t="n">
        <f aca="false">SUM(G13:G20)</f>
        <v>28670000</v>
      </c>
      <c r="H21" s="33" t="n">
        <f aca="false">SUM(H13:H20)</f>
        <v>0</v>
      </c>
      <c r="I21" s="32"/>
      <c r="J21" s="32"/>
      <c r="K21" s="32"/>
      <c r="L21" s="32"/>
      <c r="M21" s="32"/>
      <c r="N21" s="32"/>
      <c r="O21" s="32"/>
      <c r="P21" s="34" t="n">
        <f aca="false">SUM(P13:P20)</f>
        <v>435.947891348046</v>
      </c>
      <c r="Q21" s="32"/>
      <c r="R21" s="32"/>
      <c r="S21" s="32"/>
      <c r="T21" s="32"/>
      <c r="U21" s="33" t="n">
        <f aca="false">SUM(U13:U20)</f>
        <v>28670000</v>
      </c>
    </row>
  </sheetData>
  <mergeCells count="16">
    <mergeCell ref="A1:H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21:B21"/>
  </mergeCells>
  <dataValidations count="4">
    <dataValidation allowBlank="true" errorStyle="stop" operator="between" showDropDown="false" showErrorMessage="false" showInputMessage="false" sqref="E13:E212" type="list">
      <formula1>"상가,주택,미확인"</formula1>
      <formula2>0</formula2>
    </dataValidation>
    <dataValidation allowBlank="true" errorStyle="stop" operator="between" showDropDown="false" showErrorMessage="false" showInputMessage="false" sqref="L13:L212" type="list">
      <formula1>"있음,없음,모름"</formula1>
      <formula2>0</formula2>
    </dataValidation>
    <dataValidation allowBlank="true" errorStyle="stop" operator="between" showDropDown="false" showErrorMessage="false" showInputMessage="false" sqref="M13:M212" type="list">
      <formula1>"사업자등록,주민등록,미확인"</formula1>
      <formula2>0</formula2>
    </dataValidation>
    <dataValidation allowBlank="true" errorStyle="stop" operator="between" showDropDown="false" showErrorMessage="false" showInputMessage="false" sqref="N13:N212" type="list">
      <formula1>"임대중,공실,자가사용"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48"/>
  </cols>
  <sheetData>
    <row r="2" customFormat="false" ht="17.35" hidden="false" customHeight="false" outlineLevel="0" collapsed="false">
      <c r="B2" s="36" t="s">
        <v>139</v>
      </c>
      <c r="C2" s="36"/>
      <c r="D2" s="36"/>
      <c r="E2" s="36"/>
    </row>
    <row r="4" customFormat="false" ht="15" hidden="false" customHeight="false" outlineLevel="0" collapsed="false">
      <c r="B4" s="37" t="s">
        <v>140</v>
      </c>
      <c r="C4" s="38" t="s">
        <v>141</v>
      </c>
      <c r="D4" s="38" t="s">
        <v>142</v>
      </c>
      <c r="E4" s="38" t="s">
        <v>143</v>
      </c>
    </row>
    <row r="5" customFormat="false" ht="25.5" hidden="false" customHeight="true" outlineLevel="0" collapsed="false">
      <c r="B5" s="39" t="s">
        <v>144</v>
      </c>
      <c r="C5" s="40" t="s">
        <v>145</v>
      </c>
      <c r="D5" s="41" t="str">
        <f aca="false">TEXT(렌트롤!G21,"#,##0")&amp;"원"</f>
        <v>19,460,000원</v>
      </c>
      <c r="E5" s="42" t="s">
        <v>146</v>
      </c>
    </row>
    <row r="6" customFormat="false" ht="25.5" hidden="false" customHeight="true" outlineLevel="0" collapsed="false">
      <c r="B6" s="39" t="s">
        <v>147</v>
      </c>
      <c r="C6" s="40" t="s">
        <v>148</v>
      </c>
      <c r="D6" s="41" t="str">
        <f aca="false">TEXT(렌트롤!C21,"#,##0.00")&amp;"㎡ / "&amp;TEXT(렌트롤!P21,"#,##0.0")&amp;"평"</f>
        <v>1,441.15㎡ / 435.9평</v>
      </c>
      <c r="E6" s="42" t="s">
        <v>149</v>
      </c>
    </row>
    <row r="7" customFormat="false" ht="25.5" hidden="false" customHeight="true" outlineLevel="0" collapsed="false">
      <c r="B7" s="39" t="s">
        <v>150</v>
      </c>
      <c r="C7" s="40" t="s">
        <v>151</v>
      </c>
      <c r="D7" s="41" t="str">
        <f aca="false">COUNTIF(렌트롤!T13:T20,"만료*")&amp;" / "&amp;COUNTIF(렌트롤!N13:N20,"임대중")&amp;"건"</f>
        <v>2 / 6건</v>
      </c>
      <c r="E7" s="43" t="s">
        <v>152</v>
      </c>
    </row>
    <row r="8" customFormat="false" ht="25.5" hidden="false" customHeight="true" outlineLevel="0" collapsed="false">
      <c r="B8" s="39" t="s">
        <v>153</v>
      </c>
      <c r="C8" s="40" t="s">
        <v>154</v>
      </c>
      <c r="D8" s="41" t="str">
        <f aca="false">IF(COUNTIF(렌트롤!T13:T20,"만료*")&gt;COUNTIF(렌트롤!N13:N20,"임대중")/2,"발행 차단","통과")</f>
        <v>통과</v>
      </c>
      <c r="E8" s="42" t="s">
        <v>155</v>
      </c>
    </row>
    <row r="9" customFormat="false" ht="25.5" hidden="false" customHeight="true" outlineLevel="0" collapsed="false">
      <c r="B9" s="39" t="s">
        <v>156</v>
      </c>
      <c r="C9" s="44" t="s">
        <v>157</v>
      </c>
      <c r="D9" s="41" t="str">
        <f aca="false">COUNTIF(렌트롤!T13:T20,"임박*")&amp;"건"</f>
        <v>4건</v>
      </c>
      <c r="E9" s="42" t="s">
        <v>158</v>
      </c>
    </row>
    <row r="10" customFormat="false" ht="25.5" hidden="false" customHeight="true" outlineLevel="0" collapsed="false">
      <c r="B10" s="39" t="s">
        <v>159</v>
      </c>
      <c r="C10" s="40" t="s">
        <v>160</v>
      </c>
      <c r="D10" s="41" t="str">
        <f aca="false">COUNTIF(렌트롤!S13:S20,"확인 필요")&amp;"건"</f>
        <v>6건</v>
      </c>
      <c r="E10" s="42" t="s">
        <v>161</v>
      </c>
    </row>
    <row r="11" customFormat="false" ht="25.5" hidden="false" customHeight="true" outlineLevel="0" collapsed="false">
      <c r="B11" s="39" t="s">
        <v>162</v>
      </c>
      <c r="C11" s="40" t="s">
        <v>163</v>
      </c>
      <c r="D11" s="41" t="str">
        <f aca="false">COUNTIF(렌트롤!M13:M20,"미확인")&amp;"건"</f>
        <v>8건</v>
      </c>
      <c r="E11" s="42" t="s">
        <v>164</v>
      </c>
    </row>
    <row r="12" customFormat="false" ht="25.5" hidden="false" customHeight="true" outlineLevel="0" collapsed="false">
      <c r="B12" s="39" t="s">
        <v>165</v>
      </c>
      <c r="C12" s="40" t="s">
        <v>166</v>
      </c>
      <c r="D12" s="41" t="str">
        <f aca="false">COUNTBLANK(렌트롤!D13:D20)&amp;"건"</f>
        <v>0건</v>
      </c>
      <c r="E12" s="42" t="s">
        <v>167</v>
      </c>
    </row>
    <row r="13" customFormat="false" ht="25.5" hidden="false" customHeight="true" outlineLevel="0" collapsed="false">
      <c r="B13" s="39" t="s">
        <v>168</v>
      </c>
      <c r="C13" s="40" t="s">
        <v>169</v>
      </c>
      <c r="D13" s="41" t="str">
        <f aca="false">COUNTIF(렌트롤!R13:R20,"×*")&amp;"건"</f>
        <v>1건</v>
      </c>
      <c r="E13" s="42" t="s">
        <v>170</v>
      </c>
    </row>
    <row r="14" customFormat="false" ht="25.5" hidden="false" customHeight="true" outlineLevel="0" collapsed="false">
      <c r="B14" s="39" t="s">
        <v>171</v>
      </c>
      <c r="C14" s="40" t="s">
        <v>66</v>
      </c>
      <c r="D14" s="41" t="str">
        <f aca="false">IF(렌트롤!$C$5="","미기재",TEXT(렌트롤!$C$5,"yyyy-mm-dd"))</f>
        <v>2025-05-01</v>
      </c>
      <c r="E14" s="42" t="s">
        <v>172</v>
      </c>
    </row>
    <row r="15" customFormat="false" ht="25.5" hidden="false" customHeight="true" outlineLevel="0" collapsed="false">
      <c r="B15" s="39" t="s">
        <v>173</v>
      </c>
      <c r="C15" s="40" t="s">
        <v>174</v>
      </c>
      <c r="D15" s="41" t="str">
        <f aca="false">COUNTIF(렌트롤!N13:N20,"공실")&amp;"건 / "&amp;COUNTIF(렌트롤!N13:N20,"자가사용")&amp;"건"</f>
        <v>0건 / 2건</v>
      </c>
      <c r="E15" s="42" t="s">
        <v>175</v>
      </c>
    </row>
    <row r="17" customFormat="false" ht="16.15" hidden="false" customHeight="false" outlineLevel="0" collapsed="false">
      <c r="B17" s="45" t="s">
        <v>176</v>
      </c>
      <c r="C17" s="45"/>
      <c r="D17" s="45"/>
      <c r="E17" s="45"/>
    </row>
    <row r="18" customFormat="false" ht="15" hidden="false" customHeight="false" outlineLevel="0" collapsed="false">
      <c r="B18" s="38" t="s">
        <v>177</v>
      </c>
      <c r="C18" s="38" t="s">
        <v>178</v>
      </c>
      <c r="D18" s="38" t="s">
        <v>179</v>
      </c>
      <c r="E18" s="38" t="s">
        <v>180</v>
      </c>
    </row>
    <row r="19" customFormat="false" ht="27.75" hidden="false" customHeight="true" outlineLevel="0" collapsed="false">
      <c r="B19" s="46" t="s">
        <v>181</v>
      </c>
      <c r="C19" s="47" t="s">
        <v>182</v>
      </c>
      <c r="D19" s="41" t="str">
        <f aca="false">IF(AND(COUNTIFS(렌트롤!N13:N20,"임대중",렌트롤!D13:D20,"&lt;&gt;")=COUNTIF(렌트롤!N13:N20,"임대중"),COUNTIFS(렌트롤!N13:N20,"임대중",렌트롤!K13:K20,"&lt;&gt;")=COUNTIF(렌트롤!N13:N20,"임대중"),COUNTA(렌트롤!N13:N20)=COUNTA(렌트롤!A13:A20)),"충족","미달")</f>
        <v>충족</v>
      </c>
      <c r="E19" s="42" t="s">
        <v>183</v>
      </c>
    </row>
    <row r="20" customFormat="false" ht="27.75" hidden="false" customHeight="true" outlineLevel="0" collapsed="false">
      <c r="B20" s="46" t="s">
        <v>184</v>
      </c>
      <c r="C20" s="48" t="s">
        <v>185</v>
      </c>
      <c r="D20" s="41" t="str">
        <f aca="false">IF(AND(AND(COUNTIFS(렌트롤!N13:N20,"임대중",렌트롤!D13:D20,"&lt;&gt;")=COUNTIF(렌트롤!N13:N20,"임대중"),COUNTIFS(렌트롤!N13:N20,"임대중",렌트롤!K13:K20,"&lt;&gt;")=COUNTIF(렌트롤!N13:N20,"임대중"),COUNTA(렌트롤!N13:N20)=COUNTA(렌트롤!A13:A20)),COUNTA(렌트롤!C13:C20)=COUNTA(렌트롤!A13:A20),COUNTA(렌트롤!E13:E20)=COUNTA(렌트롤!A13:A20),COUNTIFS(렌트롤!N13:N20,"임대중",렌트롤!H13:H20,"&lt;&gt;")=COUNTIF(렌트롤!N13:N20,"임대중")),"충족","미달")</f>
        <v>미달</v>
      </c>
      <c r="E20" s="42" t="s">
        <v>186</v>
      </c>
    </row>
    <row r="21" customFormat="false" ht="27.75" hidden="false" customHeight="true" outlineLevel="0" collapsed="false">
      <c r="B21" s="46" t="s">
        <v>187</v>
      </c>
      <c r="C21" s="48" t="s">
        <v>188</v>
      </c>
      <c r="D21" s="41" t="str">
        <f aca="false">IF(AND(AND(AND(COUNTIFS(렌트롤!N13:N20,"임대중",렌트롤!D13:D20,"&lt;&gt;")=COUNTIF(렌트롤!N13:N20,"임대중"),COUNTIFS(렌트롤!N13:N20,"임대중",렌트롤!K13:K20,"&lt;&gt;")=COUNTIF(렌트롤!N13:N20,"임대중"),COUNTA(렌트롤!N13:N20)=COUNTA(렌트롤!A13:A20)),COUNTA(렌트롤!C13:C20)=COUNTA(렌트롤!A13:A20),COUNTA(렌트롤!E13:E20)=COUNTA(렌트롤!A13:A20),COUNTIFS(렌트롤!N13:N20,"임대중",렌트롤!H13:H20,"&lt;&gt;")=COUNTIF(렌트롤!N13:N20,"임대중")),COUNTIFS(렌트롤!N13:N20,"임대중",렌트롤!I13:I20,"&lt;&gt;")=COUNTIF(렌트롤!N13:N20,"임대중"),COUNTIFS(렌트롤!N13:N20,"임대중",렌트롤!M13:M20,"미확인")=0),"충족","미달")</f>
        <v>미달</v>
      </c>
      <c r="E21" s="42" t="s">
        <v>189</v>
      </c>
    </row>
    <row r="23" customFormat="false" ht="21.6" hidden="false" customHeight="false" outlineLevel="0" collapsed="false">
      <c r="B23" s="49" t="s">
        <v>190</v>
      </c>
      <c r="C23" s="50" t="str">
        <f aca="false">IF(AND(AND(AND(COUNTIFS(렌트롤!N13:N20,"임대중",렌트롤!D13:D20,"&lt;&gt;")=COUNTIF(렌트롤!N13:N20,"임대중"),COUNTIFS(렌트롤!N13:N20,"임대중",렌트롤!K13:K20,"&lt;&gt;")=COUNTIF(렌트롤!N13:N20,"임대중"),COUNTA(렌트롤!N13:N20)=COUNTA(렌트롤!A13:A20)),COUNTA(렌트롤!C13:C20)=COUNTA(렌트롤!A13:A20),COUNTA(렌트롤!E13:E20)=COUNTA(렌트롤!A13:A20),COUNTIFS(렌트롤!N13:N20,"임대중",렌트롤!H13:H20,"&lt;&gt;")=COUNTIF(렌트롤!N13:N20,"임대중")),COUNTIFS(렌트롤!N13:N20,"임대중",렌트롤!I13:I20,"&lt;&gt;")=COUNTIF(렌트롤!N13:N20,"임대중"),COUNTIFS(렌트롤!N13:N20,"임대중",렌트롤!M13:M20,"미확인")=0),"R3 표준형",IF(AND(AND(COUNTIFS(렌트롤!N13:N20,"임대중",렌트롤!D13:D20,"&lt;&gt;")=COUNTIF(렌트롤!N13:N20,"임대중"),COUNTIFS(렌트롤!N13:N20,"임대중",렌트롤!K13:K20,"&lt;&gt;")=COUNTIF(렌트롤!N13:N20,"임대중"),COUNTA(렌트롤!N13:N20)=COUNTA(렌트롤!A13:A20)),COUNTA(렌트롤!C13:C20)=COUNTA(렌트롤!A13:A20),COUNTA(렌트롤!E13:E20)=COUNTA(렌트롤!A13:A20),COUNTIFS(렌트롤!N13:N20,"임대중",렌트롤!H13:H20,"&lt;&gt;")=COUNTIF(렌트롤!N13:N20,"임대중")),"R2 필요형",IF(AND(COUNTIFS(렌트롤!N13:N20,"임대중",렌트롤!D13:D20,"&lt;&gt;")=COUNTIF(렌트롤!N13:N20,"임대중"),COUNTIFS(렌트롤!N13:N20,"임대중",렌트롤!K13:K20,"&lt;&gt;")=COUNTIF(렌트롤!N13:N20,"임대중"),COUNTA(렌트롤!N13:N20)=COUNTA(렌트롤!A13:A20)),"R1 최소형","R0 미달")))</f>
        <v>R1 최소형</v>
      </c>
    </row>
    <row r="24" customFormat="false" ht="31.5" hidden="false" customHeight="true" outlineLevel="0" collapsed="false">
      <c r="B24" s="49" t="s">
        <v>191</v>
      </c>
      <c r="C24" s="51" t="str">
        <f aca="false">IF(AND(AND(AND(COUNTIFS(렌트롤!N13:N20,"임대중",렌트롤!D13:D20,"&lt;&gt;")=COUNTIF(렌트롤!N13:N20,"임대중"),COUNTIFS(렌트롤!N13:N20,"임대중",렌트롤!K13:K20,"&lt;&gt;")=COUNTIF(렌트롤!N13:N20,"임대중"),COUNTA(렌트롤!N13:N20)=COUNTA(렌트롤!A13:A20)),COUNTA(렌트롤!C13:C20)=COUNTA(렌트롤!A13:A20),COUNTA(렌트롤!E13:E20)=COUNTA(렌트롤!A13:A20),COUNTIFS(렌트롤!N13:N20,"임대중",렌트롤!H13:H20,"&lt;&gt;")=COUNTIF(렌트롤!N13:N20,"임대중")),COUNTIFS(렌트롤!N13:N20,"임대중",렌트롤!I13:I20,"&lt;&gt;")=COUNTIF(렌트롤!N13:N20,"임대중"),COUNTIFS(렌트롤!N13:N20,"임대중",렌트롤!M13:M20,"미확인")=0),"완료 — 모든 기능 사용 가능",IF(AND(AND(COUNTIFS(렌트롤!N13:N20,"임대중",렌트롤!D13:D20,"&lt;&gt;")=COUNTIF(렌트롤!N13:N20,"임대중"),COUNTIFS(렌트롤!N13:N20,"임대중",렌트롤!K13:K20,"&lt;&gt;")=COUNTIF(렌트롤!N13:N20,"임대중"),COUNTA(렌트롤!N13:N20)=COUNTA(렌트롤!A13:A20)),COUNTA(렌트롤!C13:C20)=COUNTA(렌트롤!A13:A20),COUNTA(렌트롤!E13:E20)=COUNTA(렌트롤!A13:A20),COUNTIFS(렌트롤!N13:N20,"임대중",렌트롤!H13:H20,"&lt;&gt;")=COUNTIF(렌트롤!N13:N20,"임대중")),"「최초 계약일」과 「대항력 요건」을 채우면 갱신요구권·명도 계획이 열립니다",IF(AND(COUNTIFS(렌트롤!N13:N20,"임대중",렌트롤!D13:D20,"&lt;&gt;")=COUNTIF(렌트롤!N13:N20,"임대중"),COUNTIFS(렌트롤!N13:N20,"임대중",렌트롤!K13:K20,"&lt;&gt;")=COUNTIF(렌트롤!N13:N20,"임대중"),COUNTA(렌트롤!N13:N20)=COUNTA(렌트롤!A13:A20)),"「적용법령」을 채우면 환산보증금·상임법 판정이 열립니다. 「임대면적」은 평당 단가를 엽니다","「업종」과 「현 계약 만료일」부터 채우세요. 렌트롤 표를 그릴 수 없습니다")))</f>
        <v>「적용법령」을 채우면 환산보증금·상임법 판정이 열립니다. 「임대면적」은 평당 단가를 엽니다</v>
      </c>
      <c r="D24" s="51"/>
      <c r="E24" s="51"/>
    </row>
  </sheetData>
  <mergeCells count="3">
    <mergeCell ref="B2:E2"/>
    <mergeCell ref="B17:E17"/>
    <mergeCell ref="C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2026-08-23T05:03:01Z</dcterms:created>
  <dc:creator>openpyxl</dc:creator>
  <dc:description/>
  <dc:language>en-US</dc:language>
  <cp:lastModifiedBy/>
  <dcterms:modified xsi:type="dcterms:W3CDTF">2026-08-23T05:03:01Z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