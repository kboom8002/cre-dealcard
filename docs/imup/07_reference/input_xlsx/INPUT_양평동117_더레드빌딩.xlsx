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S01_물건개요" sheetId="2" state="visible" r:id="rId4"/>
    <sheet name="S02_임대총계" sheetId="3" state="visible" r:id="rId5"/>
    <sheet name="P01_임대차정밀" sheetId="4" state="visible" r:id="rId6"/>
    <sheet name="P02_취득원가" sheetId="5" state="visible" r:id="rId7"/>
    <sheet name="P03_비교사례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<sst xmlns="http://schemas.openxmlformats.org/spreadsheetml/2006/main" count="239" uniqueCount="202">
  <si>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</si>
  <si>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S_ </t>
    </r>
    <r>
      <rPr>
        <sz val="9.5"/>
        <color rgb="FF7A8794"/>
        <rFont val="Noto Sans CJK SC"/>
        <family val="2"/>
      </rPr>
      <t xml:space="preserve">시트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표준 모드 </t>
    </r>
    <r>
      <rPr>
        <sz val="9.5"/>
        <color rgb="FF7A8794"/>
        <rFont val="Arial"/>
        <family val="0"/>
        <charset val="1"/>
      </rPr>
      <t xml:space="preserve">· P_ </t>
    </r>
    <r>
      <rPr>
        <sz val="9.5"/>
        <color rgb="FF7A8794"/>
        <rFont val="Noto Sans CJK SC"/>
        <family val="2"/>
      </rPr>
      <t xml:space="preserve">시트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정밀 모드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</si>
  <si>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</si>
  <si>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</si>
  <si>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</si>
  <si>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필수 항목</t>
    </r>
  </si>
  <si>
    <r>
      <rPr>
        <sz val="10"/>
        <color rgb="FF6D4AA8"/>
        <rFont val="Noto Sans CJK SC"/>
        <family val="2"/>
      </rPr>
      <t xml:space="preserve">보라 헤더 </t>
    </r>
    <r>
      <rPr>
        <sz val="10"/>
        <color rgb="FF6D4AA8"/>
        <rFont val="Arial"/>
        <family val="0"/>
        <charset val="1"/>
      </rPr>
      <t xml:space="preserve">= </t>
    </r>
    <r>
      <rPr>
        <sz val="10"/>
        <color rgb="FF6D4AA8"/>
        <rFont val="Noto Sans CJK SC"/>
        <family val="2"/>
      </rPr>
      <t xml:space="preserve">정밀 모드 전용 </t>
    </r>
    <r>
      <rPr>
        <sz val="10"/>
        <color rgb="FF6D4AA8"/>
        <rFont val="Arial"/>
        <family val="0"/>
        <charset val="1"/>
      </rPr>
      <t xml:space="preserve">(</t>
    </r>
    <r>
      <rPr>
        <sz val="10"/>
        <color rgb="FF6D4AA8"/>
        <rFont val="Noto Sans CJK SC"/>
        <family val="2"/>
      </rPr>
      <t xml:space="preserve">가상 증강</t>
    </r>
    <r>
      <rPr>
        <sz val="10"/>
        <color rgb="FF6D4AA8"/>
        <rFont val="Arial"/>
        <family val="0"/>
        <charset val="1"/>
      </rPr>
      <t xml:space="preserve">)</t>
    </r>
  </si>
  <si>
    <t xml:space="preserve">시트 구성</t>
  </si>
  <si>
    <r>
      <rPr>
        <b val="true"/>
        <sz val="10"/>
        <color rgb="FF111827"/>
        <rFont val="Arial"/>
        <family val="0"/>
        <charset val="1"/>
      </rPr>
      <t xml:space="preserve">S01_</t>
    </r>
    <r>
      <rPr>
        <b val="true"/>
        <sz val="10"/>
        <color rgb="FF111827"/>
        <rFont val="Noto Sans CJK SC"/>
        <family val="2"/>
      </rPr>
      <t xml:space="preserve">물건개요</t>
    </r>
  </si>
  <si>
    <r>
      <rPr>
        <sz val="10"/>
        <rFont val="Noto Sans CJK SC"/>
        <family val="2"/>
      </rPr>
      <t xml:space="preserve">건축물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금액 정보</t>
    </r>
  </si>
  <si>
    <r>
      <rPr>
        <b val="true"/>
        <sz val="10"/>
        <color rgb="FF111827"/>
        <rFont val="Arial"/>
        <family val="0"/>
        <charset val="1"/>
      </rPr>
      <t xml:space="preserve">S02_</t>
    </r>
    <r>
      <rPr>
        <b val="true"/>
        <sz val="10"/>
        <color rgb="FF111827"/>
        <rFont val="Noto Sans CJK SC"/>
        <family val="2"/>
      </rPr>
      <t xml:space="preserve">임대총계</t>
    </r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</si>
  <si>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 총계만</t>
    </r>
  </si>
  <si>
    <r>
      <rPr>
        <b val="true"/>
        <sz val="10"/>
        <color rgb="FF6D4AA8"/>
        <rFont val="Arial"/>
        <family val="0"/>
        <charset val="1"/>
      </rPr>
      <t xml:space="preserve">P01_</t>
    </r>
    <r>
      <rPr>
        <b val="true"/>
        <sz val="10"/>
        <color rgb="FF6D4AA8"/>
        <rFont val="Noto Sans CJK SC"/>
        <family val="2"/>
      </rPr>
      <t xml:space="preserve">임대차정밀</t>
    </r>
  </si>
  <si>
    <r>
      <rPr>
        <sz val="10"/>
        <rFont val="Noto Sans CJK SC"/>
        <family val="2"/>
      </rPr>
      <t xml:space="preserve">층별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호실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최초계약일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환산보증금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갱신권</t>
    </r>
  </si>
  <si>
    <r>
      <rPr>
        <b val="true"/>
        <sz val="10"/>
        <color rgb="FF6D4AA8"/>
        <rFont val="Arial"/>
        <family val="0"/>
        <charset val="1"/>
      </rPr>
      <t xml:space="preserve">P02_</t>
    </r>
    <r>
      <rPr>
        <b val="true"/>
        <sz val="10"/>
        <color rgb="FF6D4AA8"/>
        <rFont val="Noto Sans CJK SC"/>
        <family val="2"/>
      </rPr>
      <t xml:space="preserve">취득원가</t>
    </r>
  </si>
  <si>
    <r>
      <rPr>
        <sz val="10"/>
        <rFont val="Noto Sans CJK SC"/>
        <family val="2"/>
      </rPr>
      <t xml:space="preserve">부대비용 </t>
    </r>
    <r>
      <rPr>
        <sz val="10"/>
        <rFont val="Arial"/>
        <family val="0"/>
        <charset val="1"/>
      </rPr>
      <t xml:space="preserve">+ Cap Rate 4</t>
    </r>
    <r>
      <rPr>
        <sz val="10"/>
        <rFont val="Noto Sans CJK SC"/>
        <family val="2"/>
      </rPr>
      <t xml:space="preserve">기준</t>
    </r>
  </si>
  <si>
    <r>
      <rPr>
        <b val="true"/>
        <sz val="10"/>
        <color rgb="FF6D4AA8"/>
        <rFont val="Arial"/>
        <family val="0"/>
        <charset val="1"/>
      </rPr>
      <t xml:space="preserve">P03_</t>
    </r>
    <r>
      <rPr>
        <b val="true"/>
        <sz val="10"/>
        <color rgb="FF6D4AA8"/>
        <rFont val="Noto Sans CJK SC"/>
        <family val="2"/>
      </rPr>
      <t xml:space="preserve">비교사례</t>
    </r>
  </si>
  <si>
    <t xml:space="preserve">인근 실거래</t>
  </si>
  <si>
    <r>
      <rPr>
        <sz val="9"/>
        <color rgb="FF1F3A5F"/>
        <rFont val="Noto Sans CJK SC"/>
        <family val="2"/>
      </rPr>
      <t xml:space="preserve">자산군 </t>
    </r>
    <r>
      <rPr>
        <sz val="9"/>
        <color rgb="FF1F3A5F"/>
        <rFont val="Arial"/>
        <family val="0"/>
        <charset val="1"/>
      </rPr>
      <t xml:space="preserve">= income (</t>
    </r>
    <r>
      <rPr>
        <sz val="9"/>
        <color rgb="FF1F3A5F"/>
        <rFont val="Noto Sans CJK SC"/>
        <family val="2"/>
      </rPr>
      <t xml:space="preserve">수익형</t>
    </r>
    <r>
      <rPr>
        <sz val="9"/>
        <color rgb="FF1F3A5F"/>
        <rFont val="Arial"/>
        <family val="0"/>
        <charset val="1"/>
      </rPr>
      <t xml:space="preserve">) — 2018</t>
    </r>
    <r>
      <rPr>
        <sz val="9"/>
        <color rgb="FF1F3A5F"/>
        <rFont val="Noto Sans CJK SC"/>
        <family val="2"/>
      </rPr>
      <t xml:space="preserve">년 준공 신축 </t>
    </r>
    <r>
      <rPr>
        <sz val="9"/>
        <color rgb="FF1F3A5F"/>
        <rFont val="Arial"/>
        <family val="0"/>
        <charset val="1"/>
      </rPr>
      <t xml:space="preserve">· </t>
    </r>
    <r>
      <rPr>
        <sz val="9"/>
        <color rgb="FF1F3A5F"/>
        <rFont val="Noto Sans CJK SC"/>
        <family val="2"/>
      </rPr>
      <t xml:space="preserve">용적률 여유 </t>
    </r>
    <r>
      <rPr>
        <sz val="9"/>
        <color rgb="FF1F3A5F"/>
        <rFont val="Arial"/>
        <family val="0"/>
        <charset val="1"/>
      </rPr>
      <t xml:space="preserve">1.2%p</t>
    </r>
    <r>
      <rPr>
        <sz val="9"/>
        <color rgb="FF1F3A5F"/>
        <rFont val="Noto Sans CJK SC"/>
        <family val="2"/>
      </rPr>
      <t xml:space="preserve">로 밸류애드 여지 없음</t>
    </r>
  </si>
  <si>
    <r>
      <rPr>
        <sz val="9"/>
        <color rgb="FFA33A3D"/>
        <rFont val="Arial"/>
        <family val="0"/>
        <charset val="1"/>
      </rPr>
      <t xml:space="preserve">IM </t>
    </r>
    <r>
      <rPr>
        <sz val="9"/>
        <color rgb="FFA33A3D"/>
        <rFont val="Noto Sans CJK SC"/>
        <family val="2"/>
      </rPr>
      <t xml:space="preserve">슬라이드 </t>
    </r>
    <r>
      <rPr>
        <sz val="9"/>
        <color rgb="FFA33A3D"/>
        <rFont val="Arial"/>
        <family val="0"/>
        <charset val="1"/>
      </rPr>
      <t xml:space="preserve">5(</t>
    </r>
    <r>
      <rPr>
        <sz val="9"/>
        <color rgb="FFA33A3D"/>
        <rFont val="Noto Sans CJK SC"/>
        <family val="2"/>
      </rPr>
      <t xml:space="preserve">임대 현황</t>
    </r>
    <r>
      <rPr>
        <sz val="9"/>
        <color rgb="FFA33A3D"/>
        <rFont val="Arial"/>
        <family val="0"/>
        <charset val="1"/>
      </rPr>
      <t xml:space="preserve">)·6(</t>
    </r>
    <r>
      <rPr>
        <sz val="9"/>
        <color rgb="FFA33A3D"/>
        <rFont val="Noto Sans CJK SC"/>
        <family val="2"/>
      </rPr>
      <t xml:space="preserve">건축물 현황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이 이미지라 텍스트 데이터가 없습니다</t>
    </r>
  </si>
  <si>
    <r>
      <rPr>
        <sz val="9"/>
        <color rgb="FF7A8794"/>
        <rFont val="Arial"/>
        <family val="0"/>
        <charset val="1"/>
      </rPr>
      <t xml:space="preserve">P_ </t>
    </r>
    <r>
      <rPr>
        <sz val="9"/>
        <color rgb="FF7A8794"/>
        <rFont val="Noto Sans CJK SC"/>
        <family val="2"/>
      </rPr>
      <t xml:space="preserve">시트는 총계에서 층별로 역산</t>
    </r>
    <r>
      <rPr>
        <sz val="9"/>
        <color rgb="FF7A8794"/>
        <rFont val="Arial"/>
        <family val="0"/>
        <charset val="1"/>
      </rPr>
      <t xml:space="preserve">·</t>
    </r>
    <r>
      <rPr>
        <sz val="9"/>
        <color rgb="FF7A8794"/>
        <rFont val="Noto Sans CJK SC"/>
        <family val="2"/>
      </rPr>
      <t xml:space="preserve">배분한 가상 증강입니다</t>
    </r>
  </si>
  <si>
    <t xml:space="preserve">물건 개요</t>
  </si>
  <si>
    <r>
      <rPr>
        <sz val="9.5"/>
        <color rgb="FF7A8794"/>
        <rFont val="Noto Sans CJK SC"/>
        <family val="2"/>
      </rPr>
      <t xml:space="preserve">건축물대장</t>
    </r>
    <r>
      <rPr>
        <sz val="9.5"/>
        <color rgb="FF7A8794"/>
        <rFont val="Arial"/>
        <family val="0"/>
        <charset val="1"/>
      </rPr>
      <t xml:space="preserve">·</t>
    </r>
    <r>
      <rPr>
        <sz val="9.5"/>
        <color rgb="FF7A8794"/>
        <rFont val="Noto Sans CJK SC"/>
        <family val="2"/>
      </rPr>
      <t xml:space="preserve">토지대장</t>
    </r>
  </si>
  <si>
    <t xml:space="preserve">구분</t>
  </si>
  <si>
    <t xml:space="preserve">내용</t>
  </si>
  <si>
    <t xml:space="preserve">소재지</t>
  </si>
  <si>
    <r>
      <rPr>
        <sz val="10"/>
        <color rgb="FF0000FF"/>
        <rFont val="Noto Sans CJK SC"/>
        <family val="2"/>
      </rPr>
      <t xml:space="preserve">서울시 영등포구 양평동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117, 134, 125-2</t>
    </r>
    <r>
      <rPr>
        <sz val="10"/>
        <color rgb="FF0000FF"/>
        <rFont val="Noto Sans CJK SC"/>
        <family val="2"/>
      </rPr>
      <t xml:space="preserve">번지</t>
    </r>
  </si>
  <si>
    <t xml:space="preserve">필지 수</t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</si>
  <si>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필지</t>
    </r>
  </si>
  <si>
    <t xml:space="preserve">대지면적</t>
  </si>
  <si>
    <r>
      <rPr>
        <sz val="10"/>
        <color rgb="FF0000FF"/>
        <rFont val="Arial"/>
        <family val="0"/>
        <charset val="1"/>
      </rPr>
      <t xml:space="preserve">518.7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(156.91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</si>
  <si>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용도지역</t>
  </si>
  <si>
    <t xml:space="preserve">준공업지역</t>
  </si>
  <si>
    <t xml:space="preserve">공시지가</t>
  </si>
  <si>
    <r>
      <rPr>
        <sz val="10"/>
        <color rgb="FF0000FF"/>
        <rFont val="Arial"/>
        <family val="0"/>
        <charset val="1"/>
      </rPr>
      <t xml:space="preserve">9,484,000</t>
    </r>
    <r>
      <rPr>
        <sz val="10"/>
        <color rgb="FF0000FF"/>
        <rFont val="Noto Sans CJK SC"/>
        <family val="2"/>
      </rPr>
      <t xml:space="preserve">원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(3,135</t>
    </r>
    <r>
      <rPr>
        <sz val="10"/>
        <color rgb="FF0000FF"/>
        <rFont val="Noto Sans CJK SC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 · 2023.01</t>
    </r>
  </si>
  <si>
    <t xml:space="preserve">교통</t>
  </si>
  <si>
    <r>
      <rPr>
        <sz val="10"/>
        <color rgb="FF0000FF"/>
        <rFont val="Noto Sans CJK SC"/>
        <family val="2"/>
      </rPr>
      <t xml:space="preserve">선유도역</t>
    </r>
    <r>
      <rPr>
        <sz val="10"/>
        <color rgb="FF0000FF"/>
        <rFont val="Arial"/>
        <family val="0"/>
        <charset val="1"/>
      </rPr>
      <t xml:space="preserve">(9</t>
    </r>
    <r>
      <rPr>
        <sz val="10"/>
        <color rgb="FF0000FF"/>
        <rFont val="Noto Sans CJK SC"/>
        <family val="2"/>
      </rPr>
      <t xml:space="preserve">호선</t>
    </r>
    <r>
      <rPr>
        <sz val="10"/>
        <color rgb="FF0000FF"/>
        <rFont val="Arial"/>
        <family val="0"/>
        <charset val="1"/>
      </rPr>
      <t xml:space="preserve">) 4</t>
    </r>
    <r>
      <rPr>
        <sz val="10"/>
        <color rgb="FF0000FF"/>
        <rFont val="Noto Sans CJK SC"/>
        <family val="2"/>
      </rPr>
      <t xml:space="preserve">번출구 도보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분</t>
    </r>
  </si>
  <si>
    <t xml:space="preserve">연면적</t>
  </si>
  <si>
    <r>
      <rPr>
        <sz val="10"/>
        <color rgb="FF0000FF"/>
        <rFont val="Arial"/>
        <family val="0"/>
        <charset val="1"/>
      </rPr>
      <t xml:space="preserve">2,490.88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(753.4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</si>
  <si>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지상 연면적</t>
  </si>
  <si>
    <r>
      <rPr>
        <sz val="10"/>
        <color rgb="FF0000FF"/>
        <rFont val="Arial"/>
        <family val="0"/>
        <charset val="1"/>
      </rPr>
      <t xml:space="preserve">2,068.6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(625.7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</si>
  <si>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건축면적</t>
  </si>
  <si>
    <r>
      <rPr>
        <sz val="10"/>
        <color rgb="FF0000FF"/>
        <rFont val="Arial"/>
        <family val="0"/>
        <charset val="1"/>
      </rPr>
      <t xml:space="preserve">302.94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(91.6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</si>
  <si>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건폐율</t>
  </si>
  <si>
    <t xml:space="preserve">58.4%</t>
  </si>
  <si>
    <r>
      <rPr>
        <b val="true"/>
        <sz val="10"/>
        <rFont val="Noto Sans CJK SC"/>
        <family val="2"/>
      </rPr>
      <t xml:space="preserve">용적률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지상 기준</t>
    </r>
    <r>
      <rPr>
        <b val="true"/>
        <sz val="10"/>
        <rFont val="Arial"/>
        <family val="0"/>
        <charset val="1"/>
      </rPr>
      <t xml:space="preserve">)</t>
    </r>
  </si>
  <si>
    <t xml:space="preserve">398.8%</t>
  </si>
  <si>
    <r>
      <rPr>
        <b val="true"/>
        <sz val="10"/>
        <rFont val="Noto Sans CJK SC"/>
        <family val="2"/>
      </rPr>
      <t xml:space="preserve">용적률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전체 연면적 기준</t>
    </r>
    <r>
      <rPr>
        <b val="true"/>
        <sz val="10"/>
        <rFont val="Arial"/>
        <family val="0"/>
        <charset val="1"/>
      </rPr>
      <t xml:space="preserve">)</t>
    </r>
  </si>
  <si>
    <t xml:space="preserve">480.2%</t>
  </si>
  <si>
    <t xml:space="preserve">규모</t>
  </si>
  <si>
    <r>
      <rPr>
        <sz val="10"/>
        <color rgb="FF0000FF"/>
        <rFont val="Noto Sans CJK SC"/>
        <family val="2"/>
      </rPr>
      <t xml:space="preserve">지하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층</t>
    </r>
  </si>
  <si>
    <t xml:space="preserve">준공</t>
  </si>
  <si>
    <r>
      <rPr>
        <sz val="10"/>
        <color rgb="FF0000FF"/>
        <rFont val="Arial"/>
        <family val="0"/>
        <charset val="1"/>
      </rPr>
      <t xml:space="preserve">2018</t>
    </r>
    <r>
      <rPr>
        <sz val="10"/>
        <color rgb="FF0000FF"/>
        <rFont val="Noto Sans CJK SC"/>
        <family val="2"/>
      </rPr>
      <t xml:space="preserve">년 </t>
    </r>
    <r>
      <rPr>
        <sz val="10"/>
        <color rgb="FF0000FF"/>
        <rFont val="Arial"/>
        <family val="0"/>
        <charset val="1"/>
      </rPr>
      <t xml:space="preserve">9</t>
    </r>
    <r>
      <rPr>
        <sz val="10"/>
        <color rgb="FF0000FF"/>
        <rFont val="Noto Sans CJK SC"/>
        <family val="2"/>
      </rPr>
      <t xml:space="preserve">월 </t>
    </r>
    <r>
      <rPr>
        <sz val="10"/>
        <color rgb="FF0000FF"/>
        <rFont val="Arial"/>
        <family val="0"/>
        <charset val="1"/>
      </rPr>
      <t xml:space="preserve">12</t>
    </r>
    <r>
      <rPr>
        <sz val="10"/>
        <color rgb="FF0000FF"/>
        <rFont val="Noto Sans CJK SC"/>
        <family val="2"/>
      </rPr>
      <t xml:space="preserve">일</t>
    </r>
  </si>
  <si>
    <t xml:space="preserve">구조</t>
  </si>
  <si>
    <t xml:space="preserve">철근콘크리트</t>
  </si>
  <si>
    <t xml:space="preserve">주용도</t>
  </si>
  <si>
    <t xml:space="preserve">업무시설</t>
  </si>
  <si>
    <t xml:space="preserve">냉난방</t>
  </si>
  <si>
    <t xml:space="preserve">개별식</t>
  </si>
  <si>
    <t xml:space="preserve">승강기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</si>
  <si>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대</t>
    </r>
  </si>
  <si>
    <t xml:space="preserve">주차</t>
  </si>
  <si>
    <r>
      <rPr>
        <sz val="10"/>
        <color rgb="FF0000FF"/>
        <rFont val="Noto Sans CJK SC"/>
        <family val="2"/>
      </rPr>
      <t xml:space="preserve">옥외 자주식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대 </t>
    </r>
    <r>
      <rPr>
        <sz val="10"/>
        <color rgb="FF0000FF"/>
        <rFont val="Arial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기계식 </t>
    </r>
    <r>
      <rPr>
        <sz val="10"/>
        <color rgb="FF0000FF"/>
        <rFont val="Arial"/>
        <family val="0"/>
        <charset val="1"/>
      </rPr>
      <t xml:space="preserve">22</t>
    </r>
    <r>
      <rPr>
        <sz val="10"/>
        <color rgb="FF0000FF"/>
        <rFont val="Noto Sans CJK SC"/>
        <family val="2"/>
      </rPr>
      <t xml:space="preserve">대</t>
    </r>
  </si>
  <si>
    <t xml:space="preserve">매매가</t>
  </si>
  <si>
    <r>
      <rPr>
        <sz val="10"/>
        <color rgb="FF0000FF"/>
        <rFont val="Arial"/>
        <family val="0"/>
        <charset val="1"/>
      </rPr>
      <t xml:space="preserve">25,000,000,000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(250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)</t>
    </r>
  </si>
  <si>
    <t xml:space="preserve">평단가</t>
  </si>
  <si>
    <r>
      <rPr>
        <sz val="10"/>
        <color rgb="FF0000FF"/>
        <rFont val="Arial"/>
        <family val="0"/>
        <charset val="1"/>
      </rPr>
      <t xml:space="preserve">15,933</t>
    </r>
    <r>
      <rPr>
        <sz val="10"/>
        <color rgb="FF0000FF"/>
        <rFont val="Noto Sans CJK SC"/>
        <family val="2"/>
      </rPr>
      <t xml:space="preserve">만원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평</t>
    </r>
  </si>
  <si>
    <r>
      <rPr>
        <sz val="9"/>
        <color rgb="FF8E6A20"/>
        <rFont val="Arial"/>
        <family val="0"/>
        <charset val="1"/>
      </rPr>
      <t xml:space="preserve">※ IM </t>
    </r>
    <r>
      <rPr>
        <sz val="9"/>
        <color rgb="FF8E6A20"/>
        <rFont val="Noto Sans CJK SC"/>
        <family val="2"/>
      </rPr>
      <t xml:space="preserve">기재 용적률 </t>
    </r>
    <r>
      <rPr>
        <sz val="9"/>
        <color rgb="FF8E6A20"/>
        <rFont val="Arial"/>
        <family val="0"/>
        <charset val="1"/>
      </rPr>
      <t xml:space="preserve">398.8%</t>
    </r>
    <r>
      <rPr>
        <sz val="9"/>
        <color rgb="FF8E6A20"/>
        <rFont val="Noto Sans CJK SC"/>
        <family val="2"/>
      </rPr>
      <t xml:space="preserve">는 지상 연면적 기준입니다</t>
    </r>
    <r>
      <rPr>
        <sz val="9"/>
        <color rgb="FF8E6A20"/>
        <rFont val="Arial"/>
        <family val="0"/>
        <charset val="1"/>
      </rPr>
      <t xml:space="preserve">. </t>
    </r>
    <r>
      <rPr>
        <sz val="9"/>
        <color rgb="FF8E6A20"/>
        <rFont val="Noto Sans CJK SC"/>
        <family val="2"/>
      </rPr>
      <t xml:space="preserve">전체 연면적</t>
    </r>
    <r>
      <rPr>
        <sz val="9"/>
        <color rgb="FF8E6A20"/>
        <rFont val="Arial"/>
        <family val="0"/>
        <charset val="1"/>
      </rPr>
      <t xml:space="preserve">(2,490.88</t>
    </r>
    <r>
      <rPr>
        <sz val="9"/>
        <color rgb="FF8E6A20"/>
        <rFont val="Noto Sans CJK SC"/>
        <family val="2"/>
      </rPr>
      <t xml:space="preserve">㎡</t>
    </r>
    <r>
      <rPr>
        <sz val="9"/>
        <color rgb="FF8E6A20"/>
        <rFont val="Arial"/>
        <family val="0"/>
        <charset val="1"/>
      </rPr>
      <t xml:space="preserve">) </t>
    </r>
    <r>
      <rPr>
        <sz val="9"/>
        <color rgb="FF8E6A20"/>
        <rFont val="Noto Sans CJK SC"/>
        <family val="2"/>
      </rPr>
      <t xml:space="preserve">기준은 </t>
    </r>
    <r>
      <rPr>
        <sz val="9"/>
        <color rgb="FF8E6A20"/>
        <rFont val="Arial"/>
        <family val="0"/>
        <charset val="1"/>
      </rPr>
      <t xml:space="preserve">480.2%</t>
    </r>
    <r>
      <rPr>
        <sz val="9"/>
        <color rgb="FF8E6A20"/>
        <rFont val="Noto Sans CJK SC"/>
        <family val="2"/>
      </rPr>
      <t xml:space="preserve">입니다</t>
    </r>
    <r>
      <rPr>
        <sz val="9"/>
        <color rgb="FF8E6A20"/>
        <rFont val="Arial"/>
        <family val="0"/>
        <charset val="1"/>
      </rPr>
      <t xml:space="preserve">.</t>
    </r>
  </si>
  <si>
    <r>
      <rPr>
        <sz val="9"/>
        <color rgb="FFA33A3D"/>
        <rFont val="Noto Sans CJK SC"/>
        <family val="2"/>
      </rPr>
      <t xml:space="preserve">※ 준공업지역 용적률 상한 </t>
    </r>
    <r>
      <rPr>
        <sz val="9"/>
        <color rgb="FFA33A3D"/>
        <rFont val="Arial"/>
        <family val="0"/>
        <charset val="1"/>
      </rPr>
      <t xml:space="preserve">400% </t>
    </r>
    <r>
      <rPr>
        <sz val="9"/>
        <color rgb="FFA33A3D"/>
        <rFont val="Noto Sans CJK SC"/>
        <family val="2"/>
      </rPr>
      <t xml:space="preserve">대비 여유 </t>
    </r>
    <r>
      <rPr>
        <sz val="9"/>
        <color rgb="FFA33A3D"/>
        <rFont val="Arial"/>
        <family val="0"/>
        <charset val="1"/>
      </rPr>
      <t xml:space="preserve">1.2%p — </t>
    </r>
    <r>
      <rPr>
        <sz val="9"/>
        <color rgb="FFA33A3D"/>
        <rFont val="Noto Sans CJK SC"/>
        <family val="2"/>
      </rPr>
      <t xml:space="preserve">증축 여지가 사실상 없습니다</t>
    </r>
    <r>
      <rPr>
        <sz val="9"/>
        <color rgb="FFA33A3D"/>
        <rFont val="Arial"/>
        <family val="0"/>
        <charset val="1"/>
      </rPr>
      <t xml:space="preserve">.</t>
    </r>
  </si>
  <si>
    <r>
      <rPr>
        <b val="true"/>
        <sz val="14"/>
        <color rgb="FF1F3A5F"/>
        <rFont val="Noto Sans CJK SC"/>
        <family val="2"/>
      </rPr>
      <t xml:space="preserve">임대 현황 </t>
    </r>
    <r>
      <rPr>
        <b val="true"/>
        <sz val="14"/>
        <color rgb="FF1F3A5F"/>
        <rFont val="Arial"/>
        <family val="0"/>
        <charset val="1"/>
      </rPr>
      <t xml:space="preserve">(</t>
    </r>
    <r>
      <rPr>
        <b val="true"/>
        <sz val="14"/>
        <color rgb="FF1F3A5F"/>
        <rFont val="Noto Sans CJK SC"/>
        <family val="2"/>
      </rPr>
      <t xml:space="preserve">총계</t>
    </r>
    <r>
      <rPr>
        <b val="true"/>
        <sz val="14"/>
        <color rgb="FF1F3A5F"/>
        <rFont val="Arial"/>
        <family val="0"/>
        <charset val="1"/>
      </rPr>
      <t xml:space="preserve">)</t>
    </r>
  </si>
  <si>
    <r>
      <rPr>
        <sz val="9.5"/>
        <color rgb="FF7A8794"/>
        <rFont val="Arial"/>
        <family val="0"/>
        <charset val="1"/>
      </rPr>
      <t xml:space="preserve">IM </t>
    </r>
    <r>
      <rPr>
        <sz val="9.5"/>
        <color rgb="FF7A8794"/>
        <rFont val="Noto Sans CJK SC"/>
        <family val="2"/>
      </rPr>
      <t xml:space="preserve">기재 — 층별 내역은 이미지로만 제공됨</t>
    </r>
  </si>
  <si>
    <r>
      <rPr>
        <b val="true"/>
        <sz val="9"/>
        <color rgb="FFFFFFFF"/>
        <rFont val="Noto Sans CJK SC"/>
        <family val="2"/>
      </rPr>
      <t xml:space="preserve">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</si>
  <si>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비고</t>
  </si>
  <si>
    <t xml:space="preserve">보증금 합계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</si>
  <si>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억 </t>
    </r>
    <r>
      <rPr>
        <sz val="10"/>
        <rFont val="Arial"/>
        <family val="0"/>
        <charset val="1"/>
      </rPr>
      <t xml:space="preserve">3,500</t>
    </r>
    <r>
      <rPr>
        <sz val="10"/>
        <rFont val="Noto Sans CJK SC"/>
        <family val="2"/>
      </rPr>
      <t xml:space="preserve">만원</t>
    </r>
  </si>
  <si>
    <t xml:space="preserve">월 임대료 합계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</si>
  <si>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 </t>
    </r>
    <r>
      <rPr>
        <sz val="10"/>
        <rFont val="Arial"/>
        <family val="0"/>
        <charset val="1"/>
      </rPr>
      <t xml:space="preserve">5,017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부가세 별도</t>
    </r>
    <r>
      <rPr>
        <sz val="10"/>
        <rFont val="Arial"/>
        <family val="0"/>
        <charset val="1"/>
      </rPr>
      <t xml:space="preserve">)</t>
    </r>
  </si>
  <si>
    <t xml:space="preserve">월 관리비 합계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</si>
  <si>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 </t>
    </r>
    <r>
      <rPr>
        <sz val="10"/>
        <rFont val="Arial"/>
        <family val="0"/>
        <charset val="1"/>
      </rPr>
      <t xml:space="preserve">648</t>
    </r>
    <r>
      <rPr>
        <sz val="10"/>
        <rFont val="Noto Sans CJK SC"/>
        <family val="2"/>
      </rPr>
      <t xml:space="preserve">만원</t>
    </r>
  </si>
  <si>
    <t xml:space="preserve">연 임대료</t>
  </si>
  <si>
    <r>
      <rPr>
        <b val="true"/>
        <sz val="10"/>
        <rFont val="Noto Sans CJK SC"/>
        <family val="2"/>
      </rPr>
      <t xml:space="preserve">연 </t>
    </r>
    <r>
      <rPr>
        <b val="true"/>
        <sz val="10"/>
        <rFont val="Arial"/>
        <family val="0"/>
        <charset val="1"/>
      </rPr>
      <t xml:space="preserve">GPI</t>
    </r>
  </si>
  <si>
    <r>
      <rPr>
        <sz val="10"/>
        <rFont val="Noto Sans CJK SC"/>
        <family val="2"/>
      </rPr>
      <t xml:space="preserve">임대료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관리비</t>
    </r>
  </si>
  <si>
    <t xml:space="preserve">수익률</t>
  </si>
  <si>
    <t xml:space="preserve">기준</t>
  </si>
  <si>
    <t xml:space="preserve">값</t>
  </si>
  <si>
    <r>
      <rPr>
        <b val="true"/>
        <sz val="10"/>
        <rFont val="Noto Sans CJK SC"/>
        <family val="2"/>
      </rPr>
      <t xml:space="preserve">연 임대료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매각가</t>
    </r>
  </si>
  <si>
    <r>
      <rPr>
        <b val="true"/>
        <sz val="10"/>
        <rFont val="Noto Sans CJK SC"/>
        <family val="2"/>
      </rPr>
      <t xml:space="preserve">연 임대료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실투자금</t>
    </r>
  </si>
  <si>
    <r>
      <rPr>
        <sz val="9"/>
        <color rgb="FF8E6A20"/>
        <rFont val="Arial"/>
        <family val="0"/>
        <charset val="1"/>
      </rPr>
      <t xml:space="preserve">※ IM </t>
    </r>
    <r>
      <rPr>
        <sz val="9"/>
        <color rgb="FF8E6A20"/>
        <rFont val="Noto Sans CJK SC"/>
        <family val="2"/>
      </rPr>
      <t xml:space="preserve">원본의 수익률 칸은 공란입니다</t>
    </r>
    <r>
      <rPr>
        <sz val="9"/>
        <color rgb="FF8E6A20"/>
        <rFont val="Arial"/>
        <family val="0"/>
        <charset val="1"/>
      </rPr>
      <t xml:space="preserve">. </t>
    </r>
    <r>
      <rPr>
        <sz val="9"/>
        <color rgb="FF8E6A20"/>
        <rFont val="Noto Sans CJK SC"/>
        <family val="2"/>
      </rPr>
      <t xml:space="preserve">위 값은 기재된 임대료</t>
    </r>
    <r>
      <rPr>
        <sz val="9"/>
        <color rgb="FF8E6A20"/>
        <rFont val="Arial"/>
        <family val="0"/>
        <charset val="1"/>
      </rPr>
      <t xml:space="preserve">·</t>
    </r>
    <r>
      <rPr>
        <sz val="9"/>
        <color rgb="FF8E6A20"/>
        <rFont val="Noto Sans CJK SC"/>
        <family val="2"/>
      </rPr>
      <t xml:space="preserve">보증금에서 산출한 것입니다</t>
    </r>
    <r>
      <rPr>
        <sz val="9"/>
        <color rgb="FF8E6A20"/>
        <rFont val="Arial"/>
        <family val="0"/>
        <charset val="1"/>
      </rPr>
      <t xml:space="preserve">.</t>
    </r>
  </si>
  <si>
    <r>
      <rPr>
        <sz val="9"/>
        <color rgb="FFA33A3D"/>
        <rFont val="Noto Sans CJK SC"/>
        <family val="2"/>
      </rPr>
      <t xml:space="preserve">※ 지하 </t>
    </r>
    <r>
      <rPr>
        <sz val="9"/>
        <color rgb="FFA33A3D"/>
        <rFont val="Arial"/>
        <family val="0"/>
        <charset val="1"/>
      </rPr>
      <t xml:space="preserve">1</t>
    </r>
    <r>
      <rPr>
        <sz val="9"/>
        <color rgb="FFA33A3D"/>
        <rFont val="Noto Sans CJK SC"/>
        <family val="2"/>
      </rPr>
      <t xml:space="preserve">층은 현재 공실입니다</t>
    </r>
    <r>
      <rPr>
        <sz val="9"/>
        <color rgb="FFA33A3D"/>
        <rFont val="Arial"/>
        <family val="0"/>
        <charset val="1"/>
      </rPr>
      <t xml:space="preserve">.</t>
    </r>
  </si>
  <si>
    <r>
      <rPr>
        <b val="true"/>
        <sz val="14"/>
        <color rgb="FF1F3A5F"/>
        <rFont val="Noto Sans CJK SC"/>
        <family val="2"/>
      </rPr>
      <t xml:space="preserve">층별 임대차 </t>
    </r>
    <r>
      <rPr>
        <b val="true"/>
        <sz val="14"/>
        <color rgb="FF1F3A5F"/>
        <rFont val="Arial"/>
        <family val="0"/>
        <charset val="1"/>
      </rPr>
      <t xml:space="preserve">(</t>
    </r>
    <r>
      <rPr>
        <b val="true"/>
        <sz val="14"/>
        <color rgb="FF1F3A5F"/>
        <rFont val="Noto Sans CJK SC"/>
        <family val="2"/>
      </rPr>
      <t xml:space="preserve">정밀</t>
    </r>
    <r>
      <rPr>
        <b val="true"/>
        <sz val="14"/>
        <color rgb="FF1F3A5F"/>
        <rFont val="Arial"/>
        <family val="0"/>
        <charset val="1"/>
      </rPr>
      <t xml:space="preserve">)</t>
    </r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</si>
  <si>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총계에서 역산</t>
    </r>
    <r>
      <rPr>
        <sz val="9.5"/>
        <color rgb="FF7A8794"/>
        <rFont val="Arial"/>
        <family val="0"/>
        <charset val="1"/>
      </rPr>
      <t xml:space="preserve">·</t>
    </r>
    <r>
      <rPr>
        <sz val="9.5"/>
        <color rgb="FF7A8794"/>
        <rFont val="Noto Sans CJK SC"/>
        <family val="2"/>
      </rPr>
      <t xml:space="preserve">배분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가상 증강</t>
    </r>
    <r>
      <rPr>
        <sz val="9.5"/>
        <color rgb="FF7A8794"/>
        <rFont val="Arial"/>
        <family val="0"/>
        <charset val="1"/>
      </rPr>
      <t xml:space="preserve">]</t>
    </r>
  </si>
  <si>
    <t xml:space="preserve">층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</si>
  <si>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</si>
  <si>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임차인</t>
  </si>
  <si>
    <t xml:space="preserve">업종</t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</si>
  <si>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</si>
  <si>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</si>
  <si>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관리비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</si>
  <si>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평당월세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천원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</si>
  <si>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최초계약</t>
  </si>
  <si>
    <t xml:space="preserve">만기</t>
  </si>
  <si>
    <r>
      <rPr>
        <b val="true"/>
        <sz val="9"/>
        <color rgb="FFFFFFFF"/>
        <rFont val="Noto Sans CJK SC"/>
        <family val="2"/>
      </rPr>
      <t xml:space="preserve">갱신권잔여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</si>
  <si>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억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</si>
  <si>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상임법</t>
  </si>
  <si>
    <t xml:space="preserve">B1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</si>
  <si>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공실</t>
    </r>
    <r>
      <rPr>
        <sz val="10"/>
        <color rgb="FF0000FF"/>
        <rFont val="Arial"/>
        <family val="0"/>
        <charset val="1"/>
      </rPr>
      <t xml:space="preserve">)</t>
    </r>
  </si>
  <si>
    <t xml:space="preserve">—</t>
  </si>
  <si>
    <t xml:space="preserve">1F</t>
  </si>
  <si>
    <t xml:space="preserve">스타벅스</t>
  </si>
  <si>
    <t xml:space="preserve">카페</t>
  </si>
  <si>
    <t xml:space="preserve">2018-11</t>
  </si>
  <si>
    <t xml:space="preserve">2026-11</t>
  </si>
  <si>
    <t xml:space="preserve">전면</t>
  </si>
  <si>
    <t xml:space="preserve">2F</t>
  </si>
  <si>
    <t xml:space="preserve">디자인 스튜디오</t>
  </si>
  <si>
    <t xml:space="preserve">서비스</t>
  </si>
  <si>
    <t xml:space="preserve">2019-03</t>
  </si>
  <si>
    <t xml:space="preserve">2027-03</t>
  </si>
  <si>
    <t xml:space="preserve">3F</t>
  </si>
  <si>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스타트업</t>
    </r>
  </si>
  <si>
    <t xml:space="preserve">업무</t>
  </si>
  <si>
    <t xml:space="preserve">2019-06</t>
  </si>
  <si>
    <t xml:space="preserve">2027-06</t>
  </si>
  <si>
    <t xml:space="preserve">4F</t>
  </si>
  <si>
    <t xml:space="preserve">회계법인</t>
  </si>
  <si>
    <t xml:space="preserve">2018-12</t>
  </si>
  <si>
    <t xml:space="preserve">2026-12</t>
  </si>
  <si>
    <t xml:space="preserve">5F</t>
  </si>
  <si>
    <t xml:space="preserve">무역업</t>
  </si>
  <si>
    <t xml:space="preserve">2020-02</t>
  </si>
  <si>
    <t xml:space="preserve">2028-02</t>
  </si>
  <si>
    <t xml:space="preserve">6F</t>
  </si>
  <si>
    <t xml:space="preserve">온라인 커머스</t>
  </si>
  <si>
    <t xml:space="preserve">2021-05</t>
  </si>
  <si>
    <t xml:space="preserve">2029-05</t>
  </si>
  <si>
    <t xml:space="preserve">7F</t>
  </si>
  <si>
    <t xml:space="preserve">컨설팅</t>
  </si>
  <si>
    <t xml:space="preserve">2019-09</t>
  </si>
  <si>
    <t xml:space="preserve">2027-09</t>
  </si>
  <si>
    <t xml:space="preserve">8F</t>
  </si>
  <si>
    <t xml:space="preserve">광고대행</t>
  </si>
  <si>
    <t xml:space="preserve">2022-04</t>
  </si>
  <si>
    <t xml:space="preserve">2030-04</t>
  </si>
  <si>
    <t xml:space="preserve">9F</t>
  </si>
  <si>
    <t xml:space="preserve">소프트웨어</t>
  </si>
  <si>
    <t xml:space="preserve">2020-08</t>
  </si>
  <si>
    <t xml:space="preserve">2028-08</t>
  </si>
  <si>
    <t xml:space="preserve">10F</t>
  </si>
  <si>
    <t xml:space="preserve">투자자문</t>
  </si>
  <si>
    <t xml:space="preserve">2018-10</t>
  </si>
  <si>
    <t xml:space="preserve">2026-10</t>
  </si>
  <si>
    <t xml:space="preserve">합계</t>
  </si>
  <si>
    <r>
      <rPr>
        <b val="true"/>
        <sz val="10"/>
        <rFont val="Noto Sans CJK SC"/>
        <family val="2"/>
      </rPr>
      <t xml:space="preserve">공실률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면적 기준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</si>
  <si>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B1 </t>
    </r>
    <r>
      <rPr>
        <b val="true"/>
        <sz val="10"/>
        <rFont val="Noto Sans CJK SC"/>
        <family val="2"/>
      </rPr>
      <t xml:space="preserve">임대 시 추가 월세</t>
    </r>
  </si>
  <si>
    <r>
      <rPr>
        <sz val="10"/>
        <rFont val="Noto Sans CJK SC"/>
        <family val="2"/>
      </rPr>
      <t xml:space="preserve">평당 </t>
    </r>
    <r>
      <rPr>
        <sz val="10"/>
        <rFont val="Arial"/>
        <family val="0"/>
        <charset val="1"/>
      </rPr>
      <t xml:space="preserve">5.0</t>
    </r>
    <r>
      <rPr>
        <sz val="10"/>
        <rFont val="Noto Sans CJK SC"/>
        <family val="2"/>
      </rPr>
      <t xml:space="preserve">만원 가정</t>
    </r>
  </si>
  <si>
    <r>
      <rPr>
        <sz val="9"/>
        <color rgb="FFA33A3D"/>
        <rFont val="Arial"/>
        <family val="0"/>
        <charset val="1"/>
      </rPr>
      <t xml:space="preserve">※ IM</t>
    </r>
    <r>
      <rPr>
        <sz val="9"/>
        <color rgb="FFA33A3D"/>
        <rFont val="Noto Sans CJK SC"/>
        <family val="2"/>
      </rPr>
      <t xml:space="preserve">은 총계</t>
    </r>
    <r>
      <rPr>
        <sz val="9"/>
        <color rgb="FFA33A3D"/>
        <rFont val="Arial"/>
        <family val="0"/>
        <charset val="1"/>
      </rPr>
      <t xml:space="preserve">(</t>
    </r>
    <r>
      <rPr>
        <sz val="9"/>
        <color rgb="FFA33A3D"/>
        <rFont val="Noto Sans CJK SC"/>
        <family val="2"/>
      </rPr>
      <t xml:space="preserve">보증금 </t>
    </r>
    <r>
      <rPr>
        <sz val="9"/>
        <color rgb="FFA33A3D"/>
        <rFont val="Arial"/>
        <family val="0"/>
        <charset val="1"/>
      </rPr>
      <t xml:space="preserve">5.35</t>
    </r>
    <r>
      <rPr>
        <sz val="9"/>
        <color rgb="FFA33A3D"/>
        <rFont val="Noto Sans CJK SC"/>
        <family val="2"/>
      </rPr>
      <t xml:space="preserve">억 </t>
    </r>
    <r>
      <rPr>
        <sz val="9"/>
        <color rgb="FFA33A3D"/>
        <rFont val="Arial"/>
        <family val="0"/>
        <charset val="1"/>
      </rPr>
      <t xml:space="preserve">· </t>
    </r>
    <r>
      <rPr>
        <sz val="9"/>
        <color rgb="FFA33A3D"/>
        <rFont val="Noto Sans CJK SC"/>
        <family val="2"/>
      </rPr>
      <t xml:space="preserve">월세 </t>
    </r>
    <r>
      <rPr>
        <sz val="9"/>
        <color rgb="FFA33A3D"/>
        <rFont val="Arial"/>
        <family val="0"/>
        <charset val="1"/>
      </rPr>
      <t xml:space="preserve">5,017</t>
    </r>
    <r>
      <rPr>
        <sz val="9"/>
        <color rgb="FFA33A3D"/>
        <rFont val="Noto Sans CJK SC"/>
        <family val="2"/>
      </rPr>
      <t xml:space="preserve">만 </t>
    </r>
    <r>
      <rPr>
        <sz val="9"/>
        <color rgb="FFA33A3D"/>
        <rFont val="Arial"/>
        <family val="0"/>
        <charset val="1"/>
      </rPr>
      <t xml:space="preserve">· </t>
    </r>
    <r>
      <rPr>
        <sz val="9"/>
        <color rgb="FFA33A3D"/>
        <rFont val="Noto Sans CJK SC"/>
        <family val="2"/>
      </rPr>
      <t xml:space="preserve">관리비 </t>
    </r>
    <r>
      <rPr>
        <sz val="9"/>
        <color rgb="FFA33A3D"/>
        <rFont val="Arial"/>
        <family val="0"/>
        <charset val="1"/>
      </rPr>
      <t xml:space="preserve">648</t>
    </r>
    <r>
      <rPr>
        <sz val="9"/>
        <color rgb="FFA33A3D"/>
        <rFont val="Noto Sans CJK SC"/>
        <family val="2"/>
      </rPr>
      <t xml:space="preserve">만</t>
    </r>
    <r>
      <rPr>
        <sz val="9"/>
        <color rgb="FFA33A3D"/>
        <rFont val="Arial"/>
        <family val="0"/>
        <charset val="1"/>
      </rPr>
      <t xml:space="preserve">)</t>
    </r>
    <r>
      <rPr>
        <sz val="9"/>
        <color rgb="FFA33A3D"/>
        <rFont val="Noto Sans CJK SC"/>
        <family val="2"/>
      </rPr>
      <t xml:space="preserve">만 제공하므로 층별 배분은 역산한 가상값입니다</t>
    </r>
    <r>
      <rPr>
        <sz val="9"/>
        <color rgb="FFA33A3D"/>
        <rFont val="Arial"/>
        <family val="0"/>
        <charset val="1"/>
      </rPr>
      <t xml:space="preserve">.</t>
    </r>
  </si>
  <si>
    <r>
      <rPr>
        <sz val="9"/>
        <color rgb="FF8E6A20"/>
        <rFont val="Arial"/>
        <family val="0"/>
        <charset val="1"/>
      </rPr>
      <t xml:space="preserve">※ 11</t>
    </r>
    <r>
      <rPr>
        <sz val="9"/>
        <color rgb="FF8E6A20"/>
        <rFont val="Noto Sans CJK SC"/>
        <family val="2"/>
      </rPr>
      <t xml:space="preserve">개 호실 전원 환산보증금 </t>
    </r>
    <r>
      <rPr>
        <sz val="9"/>
        <color rgb="FF8E6A20"/>
        <rFont val="Arial"/>
        <family val="0"/>
        <charset val="1"/>
      </rPr>
      <t xml:space="preserve">9</t>
    </r>
    <r>
      <rPr>
        <sz val="9"/>
        <color rgb="FF8E6A20"/>
        <rFont val="Noto Sans CJK SC"/>
        <family val="2"/>
      </rPr>
      <t xml:space="preserve">억 이하 → 상가임대차보호법 전면 적용 → 갱신 시 차임 인상률 </t>
    </r>
    <r>
      <rPr>
        <sz val="9"/>
        <color rgb="FF8E6A20"/>
        <rFont val="Arial"/>
        <family val="0"/>
        <charset val="1"/>
      </rPr>
      <t xml:space="preserve">5% </t>
    </r>
    <r>
      <rPr>
        <sz val="9"/>
        <color rgb="FF8E6A20"/>
        <rFont val="Noto Sans CJK SC"/>
        <family val="2"/>
      </rPr>
      <t xml:space="preserve">상한</t>
    </r>
    <r>
      <rPr>
        <sz val="9"/>
        <color rgb="FF8E6A20"/>
        <rFont val="Arial"/>
        <family val="0"/>
        <charset val="1"/>
      </rPr>
      <t xml:space="preserve">.</t>
    </r>
  </si>
  <si>
    <r>
      <rPr>
        <sz val="9"/>
        <color rgb="FF1F3A5F"/>
        <rFont val="Arial"/>
        <family val="0"/>
        <charset val="1"/>
      </rPr>
      <t xml:space="preserve">※ 2018</t>
    </r>
    <r>
      <rPr>
        <sz val="9"/>
        <color rgb="FF1F3A5F"/>
        <rFont val="Noto Sans CJK SC"/>
        <family val="2"/>
      </rPr>
      <t xml:space="preserve">년 준공 신축 </t>
    </r>
    <r>
      <rPr>
        <sz val="9"/>
        <color rgb="FF1F3A5F"/>
        <rFont val="Arial"/>
        <family val="0"/>
        <charset val="1"/>
      </rPr>
      <t xml:space="preserve">+ </t>
    </r>
    <r>
      <rPr>
        <sz val="9"/>
        <color rgb="FF1F3A5F"/>
        <rFont val="Noto Sans CJK SC"/>
        <family val="2"/>
      </rPr>
      <t xml:space="preserve">용적률 여유 </t>
    </r>
    <r>
      <rPr>
        <sz val="9"/>
        <color rgb="FF1F3A5F"/>
        <rFont val="Arial"/>
        <family val="0"/>
        <charset val="1"/>
      </rPr>
      <t xml:space="preserve">1.2%p + 5% </t>
    </r>
    <r>
      <rPr>
        <sz val="9"/>
        <color rgb="FF1F3A5F"/>
        <rFont val="Noto Sans CJK SC"/>
        <family val="2"/>
      </rPr>
      <t xml:space="preserve">인상 상한 → 밸류애드 여지가 사실상 없습니다</t>
    </r>
    <r>
      <rPr>
        <sz val="9"/>
        <color rgb="FF1F3A5F"/>
        <rFont val="Arial"/>
        <family val="0"/>
        <charset val="1"/>
      </rPr>
      <t xml:space="preserve">. </t>
    </r>
    <r>
      <rPr>
        <sz val="9"/>
        <color rgb="FF1F3A5F"/>
        <rFont val="Noto Sans CJK SC"/>
        <family val="2"/>
      </rPr>
      <t xml:space="preserve">초안정 수익형입니다</t>
    </r>
    <r>
      <rPr>
        <sz val="9"/>
        <color rgb="FF1F3A5F"/>
        <rFont val="Arial"/>
        <family val="0"/>
        <charset val="1"/>
      </rPr>
      <t xml:space="preserve">.</t>
    </r>
  </si>
  <si>
    <r>
      <rPr>
        <b val="true"/>
        <sz val="14"/>
        <color rgb="FF1F3A5F"/>
        <rFont val="Noto Sans CJK SC"/>
        <family val="2"/>
      </rPr>
      <t xml:space="preserve">취득 부대비용 및 </t>
    </r>
    <r>
      <rPr>
        <b val="true"/>
        <sz val="14"/>
        <color rgb="FF1F3A5F"/>
        <rFont val="Arial"/>
        <family val="0"/>
        <charset val="1"/>
      </rPr>
      <t xml:space="preserve">Cap Rate</t>
    </r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</si>
  <si>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표준 요율</t>
    </r>
    <r>
      <rPr>
        <sz val="9.5"/>
        <color rgb="FF7A8794"/>
        <rFont val="Arial"/>
        <family val="0"/>
        <charset val="1"/>
      </rPr>
      <t xml:space="preserve">]</t>
    </r>
  </si>
  <si>
    <t xml:space="preserve">산정 근거</t>
  </si>
  <si>
    <t xml:space="preserve">매각가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</si>
  <si>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</t>
    </r>
  </si>
  <si>
    <r>
      <rPr>
        <sz val="10"/>
        <rFont val="Noto Sans CJK SC"/>
        <family val="2"/>
      </rPr>
      <t xml:space="preserve">취득세 </t>
    </r>
    <r>
      <rPr>
        <sz val="10"/>
        <rFont val="Arial"/>
        <family val="0"/>
        <charset val="1"/>
      </rPr>
      <t xml:space="preserve">(4.6%)</t>
    </r>
  </si>
  <si>
    <t xml:space="preserve">표준세율</t>
  </si>
  <si>
    <r>
      <rPr>
        <sz val="10"/>
        <rFont val="Noto Sans CJK SC"/>
        <family val="2"/>
      </rPr>
      <t xml:space="preserve">중개보수 </t>
    </r>
    <r>
      <rPr>
        <sz val="10"/>
        <rFont val="Arial"/>
        <family val="0"/>
        <charset val="1"/>
      </rPr>
      <t xml:space="preserve">(0.9%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)</t>
    </r>
  </si>
  <si>
    <t xml:space="preserve">법정 상한 내</t>
  </si>
  <si>
    <r>
      <rPr>
        <sz val="10"/>
        <rFont val="Noto Sans CJK SC"/>
        <family val="2"/>
      </rPr>
      <t xml:space="preserve">등록면허세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법무비</t>
    </r>
  </si>
  <si>
    <t xml:space="preserve">추정</t>
  </si>
  <si>
    <r>
      <rPr>
        <sz val="10"/>
        <rFont val="Noto Sans CJK SC"/>
        <family val="2"/>
      </rPr>
      <t xml:space="preserve">감정평가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실사</t>
    </r>
  </si>
  <si>
    <t xml:space="preserve">총취득원가</t>
  </si>
  <si>
    <r>
      <rPr>
        <sz val="10"/>
        <rFont val="Noto Sans CJK SC"/>
        <family val="2"/>
      </rPr>
      <t xml:space="preserve">회계사형 </t>
    </r>
    <r>
      <rPr>
        <sz val="10"/>
        <rFont val="Arial"/>
        <family val="0"/>
        <charset val="1"/>
      </rPr>
      <t xml:space="preserve">Cap Rate</t>
    </r>
    <r>
      <rPr>
        <sz val="10"/>
        <rFont val="Noto Sans CJK SC"/>
        <family val="2"/>
      </rPr>
      <t xml:space="preserve">의 분모</t>
    </r>
  </si>
  <si>
    <r>
      <rPr>
        <b val="true"/>
        <sz val="11"/>
        <rFont val="Arial"/>
        <family val="0"/>
        <charset val="1"/>
      </rPr>
      <t xml:space="preserve">Cap Rate 4</t>
    </r>
    <r>
      <rPr>
        <b val="true"/>
        <sz val="11"/>
        <rFont val="Noto Sans CJK SC"/>
        <family val="2"/>
      </rPr>
      <t xml:space="preserve">기준</t>
    </r>
  </si>
  <si>
    <t xml:space="preserve">산식</t>
  </si>
  <si>
    <r>
      <rPr>
        <b val="true"/>
        <sz val="10"/>
        <rFont val="Noto Sans CJK SC"/>
        <family val="2"/>
      </rPr>
      <t xml:space="preserve">중개인형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실투자금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</si>
  <si>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 임대료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매각가 − 보증금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</si>
  <si>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중개인형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매각가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</si>
  <si>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연 임대료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매각가</t>
    </r>
  </si>
  <si>
    <r>
      <rPr>
        <b val="true"/>
        <sz val="10"/>
        <rFont val="Noto Sans CJK SC"/>
        <family val="2"/>
      </rPr>
      <t xml:space="preserve">표준형 </t>
    </r>
    <r>
      <rPr>
        <b val="true"/>
        <sz val="10"/>
        <rFont val="Arial"/>
        <family val="0"/>
        <charset val="1"/>
      </rPr>
      <t xml:space="preserve">(NOI/</t>
    </r>
    <r>
      <rPr>
        <b val="true"/>
        <sz val="10"/>
        <rFont val="Noto Sans CJK SC"/>
        <family val="2"/>
      </rPr>
      <t xml:space="preserve">매각가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</si>
  <si>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NOI(GPI × 78%) ÷ </t>
    </r>
    <r>
      <rPr>
        <sz val="10"/>
        <rFont val="Noto Sans CJK SC"/>
        <family val="2"/>
      </rPr>
      <t xml:space="preserve">매각가</t>
    </r>
  </si>
  <si>
    <r>
      <rPr>
        <b val="true"/>
        <sz val="10"/>
        <rFont val="Noto Sans CJK SC"/>
        <family val="2"/>
      </rPr>
      <t xml:space="preserve">회계사형 </t>
    </r>
    <r>
      <rPr>
        <b val="true"/>
        <sz val="10"/>
        <rFont val="Arial"/>
        <family val="0"/>
        <charset val="1"/>
      </rPr>
      <t xml:space="preserve">(NOI/</t>
    </r>
    <r>
      <rPr>
        <b val="true"/>
        <sz val="10"/>
        <rFont val="Noto Sans CJK SC"/>
        <family val="2"/>
      </rPr>
      <t xml:space="preserve">총취득원가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</si>
  <si>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NOI ÷ </t>
    </r>
    <r>
      <rPr>
        <sz val="10"/>
        <rFont val="Noto Sans CJK SC"/>
        <family val="2"/>
      </rPr>
      <t xml:space="preserve">총취득원가</t>
    </r>
  </si>
  <si>
    <r>
      <rPr>
        <sz val="9"/>
        <color rgb="FF7A8794"/>
        <rFont val="Noto Sans CJK SC"/>
        <family val="2"/>
      </rPr>
      <t xml:space="preserve">운영경비율 </t>
    </r>
    <r>
      <rPr>
        <sz val="9"/>
        <color rgb="FF7A8794"/>
        <rFont val="Arial"/>
        <family val="0"/>
        <charset val="1"/>
      </rPr>
      <t xml:space="preserve">22% </t>
    </r>
    <r>
      <rPr>
        <sz val="9"/>
        <color rgb="FF7A8794"/>
        <rFont val="Noto Sans CJK SC"/>
        <family val="2"/>
      </rPr>
      <t xml:space="preserve">가정 </t>
    </r>
    <r>
      <rPr>
        <sz val="9"/>
        <color rgb="FF7A8794"/>
        <rFont val="Arial"/>
        <family val="0"/>
        <charset val="1"/>
      </rPr>
      <t xml:space="preserve">(</t>
    </r>
    <r>
      <rPr>
        <sz val="9"/>
        <color rgb="FF7A8794"/>
        <rFont val="Noto Sans CJK SC"/>
        <family val="2"/>
      </rPr>
      <t xml:space="preserve">권역 업무시설 평균</t>
    </r>
    <r>
      <rPr>
        <sz val="9"/>
        <color rgb="FF7A8794"/>
        <rFont val="Arial"/>
        <family val="0"/>
        <charset val="1"/>
      </rPr>
      <t xml:space="preserve">)</t>
    </r>
  </si>
  <si>
    <t xml:space="preserve">인근 비교사례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</si>
  <si>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</si>
  <si>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t xml:space="preserve">주소</t>
  </si>
  <si>
    <t xml:space="preserve">시점</t>
  </si>
  <si>
    <r>
      <rPr>
        <b val="true"/>
        <sz val="9"/>
        <color rgb="FFFFFFFF"/>
        <rFont val="Noto Sans CJK SC"/>
        <family val="2"/>
      </rPr>
      <t xml:space="preserve">토지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</si>
  <si>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연면적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</si>
  <si>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토지 평당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</si>
  <si>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영등포구 양평동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xx</t>
    </r>
  </si>
  <si>
    <t xml:space="preserve">2025-11</t>
  </si>
  <si>
    <t xml:space="preserve">준공업</t>
  </si>
  <si>
    <r>
      <rPr>
        <sz val="10"/>
        <color rgb="FF0000FF"/>
        <rFont val="Arial"/>
        <family val="0"/>
        <charset val="1"/>
      </rPr>
      <t xml:space="preserve">2019</t>
    </r>
    <r>
      <rPr>
        <sz val="10"/>
        <color rgb="FF0000FF"/>
        <rFont val="Noto Sans CJK SC"/>
        <family val="2"/>
      </rPr>
      <t xml:space="preserve">년 준공</t>
    </r>
  </si>
  <si>
    <r>
      <rPr>
        <sz val="10"/>
        <color rgb="FF0000FF"/>
        <rFont val="Noto Sans CJK SC"/>
        <family val="2"/>
      </rPr>
      <t xml:space="preserve">영등포구 당산동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xx</t>
    </r>
  </si>
  <si>
    <t xml:space="preserve">2026-02</t>
  </si>
  <si>
    <r>
      <rPr>
        <sz val="10"/>
        <color rgb="FF0000FF"/>
        <rFont val="Arial"/>
        <family val="0"/>
        <charset val="1"/>
      </rPr>
      <t xml:space="preserve">2015</t>
    </r>
    <r>
      <rPr>
        <sz val="10"/>
        <color rgb="FF0000FF"/>
        <rFont val="Noto Sans CJK SC"/>
        <family val="2"/>
      </rPr>
      <t xml:space="preserve">년 준공</t>
    </r>
  </si>
  <si>
    <r>
      <rPr>
        <sz val="10"/>
        <color rgb="FF0000FF"/>
        <rFont val="Noto Sans CJK SC"/>
        <family val="2"/>
      </rPr>
      <t xml:space="preserve">영등포구 문래동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가 </t>
    </r>
    <r>
      <rPr>
        <sz val="10"/>
        <color rgb="FF0000FF"/>
        <rFont val="Arial"/>
        <family val="0"/>
        <charset val="1"/>
      </rPr>
      <t xml:space="preserve">xx</t>
    </r>
  </si>
  <si>
    <t xml:space="preserve">2025-09</t>
  </si>
  <si>
    <r>
      <rPr>
        <sz val="10"/>
        <color rgb="FF0000FF"/>
        <rFont val="Noto Sans CJK SC"/>
        <family val="2"/>
      </rPr>
      <t xml:space="preserve">선유도역 도보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분</t>
    </r>
  </si>
  <si>
    <t xml:space="preserve">본 물건</t>
  </si>
  <si>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년 준공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초역세권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</si>
</sst>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#,##0.0"/>
    <numFmt numFmtId="168" formatCode="#,##0.00"/>
    <numFmt numFmtId="169" formatCode="0.0"/>
    <numFmt numFmtId="170" formatCode="0.00"/>
    <numFmt numFmtId="171" formatCode="0.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6D4AA8"/>
      <name val="Noto Sans CJK SC"/>
      <family val="2"/>
    </font>
    <font>
      <sz val="10"/>
      <color rgb="FF6D4AA8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111827"/>
      <name val="Noto Sans CJK SC"/>
      <family val="2"/>
    </font>
    <font>
      <b val="true"/>
      <sz val="10"/>
      <color rgb="FF6D4AA8"/>
      <name val="Arial"/>
      <family val="0"/>
      <charset val="1"/>
    </font>
    <font>
      <b val="true"/>
      <sz val="10"/>
      <color rgb="FF6D4AA8"/>
      <name val="Noto Sans CJK SC"/>
      <family val="2"/>
    </font>
    <font>
      <sz val="9"/>
      <color rgb="FF1F3A5F"/>
      <name val="Noto Sans CJK SC"/>
      <family val="2"/>
    </font>
    <font>
      <sz val="9"/>
      <color rgb="FF1F3A5F"/>
      <name val="Arial"/>
      <family val="0"/>
      <charset val="1"/>
    </font>
    <font>
      <sz val="9"/>
      <color rgb="FFA33A3D"/>
      <name val="Arial"/>
      <family val="0"/>
      <charset val="1"/>
    </font>
    <font>
      <sz val="9"/>
      <color rgb="FFA33A3D"/>
      <name val="Noto Sans CJK SC"/>
      <family val="2"/>
    </font>
    <font>
      <sz val="9"/>
      <color rgb="FF7A8794"/>
      <name val="Arial"/>
      <family val="0"/>
      <charset val="1"/>
    </font>
    <font>
      <sz val="9"/>
      <color rgb="FF7A8794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9"/>
      <color rgb="FF8E6A20"/>
      <name val="Arial"/>
      <family val="0"/>
      <charset val="1"/>
    </font>
    <font>
      <sz val="9"/>
      <color rgb="FF8E6A20"/>
      <name val="Noto Sans CJK SC"/>
      <family val="2"/>
    </font>
    <font>
      <b val="true"/>
      <sz val="14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BF6EC"/>
        <bgColor rgb="FFF5F7F9"/>
      </patternFill>
    </fill>
    <fill>
      <patternFill patternType="solid">
        <fgColor rgb="FF6D4AA8"/>
        <bgColor rgb="FF333399"/>
      </patternFill>
    </fill>
    <fill>
      <patternFill patternType="solid">
        <fgColor rgb="FFF6E9E9"/>
        <bgColor rgb="FFF7EFDC"/>
      </patternFill>
    </fill>
    <fill>
      <patternFill patternType="solid">
        <fgColor rgb="FFF7EFDC"/>
        <bgColor rgb="FFF6E9E9"/>
      </patternFill>
    </fill>
    <fill>
      <patternFill patternType="solid">
        <fgColor rgb="FFF5F7F9"/>
        <bgColor rgb="FFFBF6EC"/>
      </patternFill>
    </fill>
    <fill>
      <patternFill patternType="solid">
        <fgColor rgb="FFE7F0EA"/>
        <bgColor rgb="FFF6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E7F0EA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F6E9E9"/>
      <rgbColor rgb="FFF7EF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4AA8"/>
      <rgbColor rgb="FF969696"/>
      <rgbColor rgb="FF1F3A5F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8" t="s">
        <v>8</v>
      </c>
      <c r="B11" s="5" t="s">
        <v>9</v>
      </c>
    </row>
    <row r="12" customFormat="false" ht="15" hidden="false" customHeight="false" outlineLevel="0" collapsed="false">
      <c r="A12" s="8" t="s">
        <v>10</v>
      </c>
      <c r="B12" s="9" t="s">
        <v>11</v>
      </c>
    </row>
    <row r="13" customFormat="false" ht="15" hidden="false" customHeight="false" outlineLevel="0" collapsed="false">
      <c r="A13" s="10" t="s">
        <v>12</v>
      </c>
      <c r="B13" s="5" t="s">
        <v>13</v>
      </c>
    </row>
    <row r="14" customFormat="false" ht="15" hidden="false" customHeight="false" outlineLevel="0" collapsed="false">
      <c r="A14" s="10" t="s">
        <v>14</v>
      </c>
      <c r="B14" s="5" t="s">
        <v>15</v>
      </c>
    </row>
    <row r="15" customFormat="false" ht="15" hidden="false" customHeight="false" outlineLevel="0" collapsed="false">
      <c r="A15" s="10" t="s">
        <v>16</v>
      </c>
      <c r="B15" s="5" t="s">
        <v>17</v>
      </c>
    </row>
    <row r="17" customFormat="false" ht="15" hidden="false" customHeight="false" outlineLevel="0" collapsed="false">
      <c r="A17" s="11" t="s">
        <v>18</v>
      </c>
    </row>
    <row r="18" customFormat="false" ht="15" hidden="false" customHeight="false" outlineLevel="0" collapsed="false">
      <c r="A18" s="12" t="s">
        <v>19</v>
      </c>
    </row>
    <row r="19" customFormat="false" ht="15" hidden="false" customHeight="false" outlineLevel="0" collapsed="false">
      <c r="A19" s="1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14" t="s">
        <v>22</v>
      </c>
    </row>
    <row r="4" customFormat="false" ht="30" hidden="false" customHeight="true" outlineLevel="0" collapsed="false">
      <c r="A4" s="15" t="s">
        <v>23</v>
      </c>
      <c r="B4" s="15" t="s">
        <v>24</v>
      </c>
    </row>
    <row r="5" customFormat="false" ht="15" hidden="false" customHeight="false" outlineLevel="0" collapsed="false">
      <c r="A5" s="16" t="s">
        <v>25</v>
      </c>
      <c r="B5" s="17" t="s">
        <v>26</v>
      </c>
    </row>
    <row r="6" customFormat="false" ht="15" hidden="false" customHeight="false" outlineLevel="0" collapsed="false">
      <c r="A6" s="16" t="s">
        <v>27</v>
      </c>
      <c r="B6" s="18" t="s">
        <v>28</v>
      </c>
    </row>
    <row r="7" customFormat="false" ht="15" hidden="false" customHeight="false" outlineLevel="0" collapsed="false">
      <c r="A7" s="16" t="s">
        <v>29</v>
      </c>
      <c r="B7" s="18" t="s">
        <v>30</v>
      </c>
    </row>
    <row r="8" customFormat="false" ht="15" hidden="false" customHeight="false" outlineLevel="0" collapsed="false">
      <c r="A8" s="16" t="s">
        <v>31</v>
      </c>
      <c r="B8" s="17" t="s">
        <v>32</v>
      </c>
    </row>
    <row r="9" customFormat="false" ht="15" hidden="false" customHeight="false" outlineLevel="0" collapsed="false">
      <c r="A9" s="16" t="s">
        <v>33</v>
      </c>
      <c r="B9" s="18" t="s">
        <v>34</v>
      </c>
    </row>
    <row r="10" customFormat="false" ht="15" hidden="false" customHeight="false" outlineLevel="0" collapsed="false">
      <c r="A10" s="16" t="s">
        <v>35</v>
      </c>
      <c r="B10" s="17" t="s">
        <v>36</v>
      </c>
    </row>
    <row r="11" customFormat="false" ht="15" hidden="false" customHeight="false" outlineLevel="0" collapsed="false">
      <c r="A11" s="16" t="s">
        <v>37</v>
      </c>
      <c r="B11" s="18" t="s">
        <v>38</v>
      </c>
    </row>
    <row r="12" customFormat="false" ht="15" hidden="false" customHeight="false" outlineLevel="0" collapsed="false">
      <c r="A12" s="16" t="s">
        <v>39</v>
      </c>
      <c r="B12" s="18" t="s">
        <v>40</v>
      </c>
    </row>
    <row r="13" customFormat="false" ht="15" hidden="false" customHeight="false" outlineLevel="0" collapsed="false">
      <c r="A13" s="16" t="s">
        <v>41</v>
      </c>
      <c r="B13" s="18" t="s">
        <v>42</v>
      </c>
    </row>
    <row r="14" customFormat="false" ht="15" hidden="false" customHeight="false" outlineLevel="0" collapsed="false">
      <c r="A14" s="16" t="s">
        <v>43</v>
      </c>
      <c r="B14" s="18" t="s">
        <v>44</v>
      </c>
    </row>
    <row r="15" customFormat="false" ht="15" hidden="false" customHeight="false" outlineLevel="0" collapsed="false">
      <c r="A15" s="16" t="s">
        <v>45</v>
      </c>
      <c r="B15" s="18" t="s">
        <v>46</v>
      </c>
    </row>
    <row r="16" customFormat="false" ht="15" hidden="false" customHeight="false" outlineLevel="0" collapsed="false">
      <c r="A16" s="16" t="s">
        <v>47</v>
      </c>
      <c r="B16" s="18" t="s">
        <v>48</v>
      </c>
    </row>
    <row r="17" customFormat="false" ht="15" hidden="false" customHeight="false" outlineLevel="0" collapsed="false">
      <c r="A17" s="16" t="s">
        <v>49</v>
      </c>
      <c r="B17" s="17" t="s">
        <v>50</v>
      </c>
    </row>
    <row r="18" customFormat="false" ht="15" hidden="false" customHeight="false" outlineLevel="0" collapsed="false">
      <c r="A18" s="16" t="s">
        <v>51</v>
      </c>
      <c r="B18" s="18" t="s">
        <v>52</v>
      </c>
    </row>
    <row r="19" customFormat="false" ht="15" hidden="false" customHeight="false" outlineLevel="0" collapsed="false">
      <c r="A19" s="16" t="s">
        <v>53</v>
      </c>
      <c r="B19" s="17" t="s">
        <v>54</v>
      </c>
    </row>
    <row r="20" customFormat="false" ht="15" hidden="false" customHeight="false" outlineLevel="0" collapsed="false">
      <c r="A20" s="16" t="s">
        <v>55</v>
      </c>
      <c r="B20" s="17" t="s">
        <v>56</v>
      </c>
    </row>
    <row r="21" customFormat="false" ht="15" hidden="false" customHeight="false" outlineLevel="0" collapsed="false">
      <c r="A21" s="16" t="s">
        <v>57</v>
      </c>
      <c r="B21" s="17" t="s">
        <v>58</v>
      </c>
    </row>
    <row r="22" customFormat="false" ht="15" hidden="false" customHeight="false" outlineLevel="0" collapsed="false">
      <c r="A22" s="16" t="s">
        <v>59</v>
      </c>
      <c r="B22" s="18" t="s">
        <v>60</v>
      </c>
    </row>
    <row r="23" customFormat="false" ht="15" hidden="false" customHeight="false" outlineLevel="0" collapsed="false">
      <c r="A23" s="16" t="s">
        <v>61</v>
      </c>
      <c r="B23" s="17" t="s">
        <v>62</v>
      </c>
    </row>
    <row r="24" customFormat="false" ht="15" hidden="false" customHeight="false" outlineLevel="0" collapsed="false">
      <c r="A24" s="16" t="s">
        <v>63</v>
      </c>
      <c r="B24" s="18" t="s">
        <v>64</v>
      </c>
    </row>
    <row r="25" customFormat="false" ht="15" hidden="false" customHeight="false" outlineLevel="0" collapsed="false">
      <c r="A25" s="16" t="s">
        <v>65</v>
      </c>
      <c r="B25" s="18" t="s">
        <v>66</v>
      </c>
    </row>
    <row r="27" customFormat="false" ht="15" hidden="false" customHeight="false" outlineLevel="0" collapsed="false">
      <c r="A27" s="19" t="s">
        <v>67</v>
      </c>
    </row>
    <row r="28" customFormat="false" ht="15" hidden="false" customHeight="false" outlineLevel="0" collapsed="false">
      <c r="A28" s="20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1.6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15" t="s">
        <v>23</v>
      </c>
      <c r="B4" s="15" t="s">
        <v>71</v>
      </c>
      <c r="C4" s="15" t="s">
        <v>72</v>
      </c>
    </row>
    <row r="5" customFormat="false" ht="15" hidden="false" customHeight="false" outlineLevel="0" collapsed="false">
      <c r="A5" s="16" t="s">
        <v>73</v>
      </c>
      <c r="B5" s="21" t="n">
        <v>535000000</v>
      </c>
      <c r="C5" s="22" t="s">
        <v>74</v>
      </c>
    </row>
    <row r="6" customFormat="false" ht="15" hidden="false" customHeight="false" outlineLevel="0" collapsed="false">
      <c r="A6" s="16" t="s">
        <v>75</v>
      </c>
      <c r="B6" s="21" t="n">
        <v>50170000</v>
      </c>
      <c r="C6" s="22" t="s">
        <v>76</v>
      </c>
    </row>
    <row r="7" customFormat="false" ht="15" hidden="false" customHeight="false" outlineLevel="0" collapsed="false">
      <c r="A7" s="16" t="s">
        <v>77</v>
      </c>
      <c r="B7" s="21" t="n">
        <v>6480000</v>
      </c>
      <c r="C7" s="22" t="s">
        <v>78</v>
      </c>
    </row>
    <row r="8" customFormat="false" ht="15" hidden="false" customHeight="false" outlineLevel="0" collapsed="false">
      <c r="A8" s="16" t="s">
        <v>79</v>
      </c>
      <c r="B8" s="23" t="n">
        <f aca="false">B6*12</f>
        <v>602040000</v>
      </c>
      <c r="C8" s="22"/>
    </row>
    <row r="9" customFormat="false" ht="15" hidden="false" customHeight="false" outlineLevel="0" collapsed="false">
      <c r="A9" s="16" t="s">
        <v>80</v>
      </c>
      <c r="B9" s="23" t="n">
        <f aca="false">(B6+B7)*12</f>
        <v>679800000</v>
      </c>
      <c r="C9" s="24" t="s">
        <v>81</v>
      </c>
    </row>
    <row r="11" customFormat="false" ht="15" hidden="false" customHeight="false" outlineLevel="0" collapsed="false">
      <c r="A11" s="3" t="s">
        <v>82</v>
      </c>
    </row>
    <row r="12" customFormat="false" ht="30" hidden="false" customHeight="true" outlineLevel="0" collapsed="false">
      <c r="A12" s="15" t="s">
        <v>83</v>
      </c>
      <c r="B12" s="15" t="s">
        <v>84</v>
      </c>
    </row>
    <row r="13" customFormat="false" ht="15" hidden="false" customHeight="false" outlineLevel="0" collapsed="false">
      <c r="A13" s="16" t="s">
        <v>85</v>
      </c>
      <c r="B13" s="25" t="n">
        <f aca="false">B8/25000000000</f>
        <v>0.0240816</v>
      </c>
    </row>
    <row r="14" customFormat="false" ht="15" hidden="false" customHeight="false" outlineLevel="0" collapsed="false">
      <c r="A14" s="16" t="s">
        <v>86</v>
      </c>
      <c r="B14" s="25" t="n">
        <f aca="false">B8/(25000000000-B5)</f>
        <v>0.0246082158185162</v>
      </c>
    </row>
    <row r="16" customFormat="false" ht="15" hidden="false" customHeight="false" outlineLevel="0" collapsed="false">
      <c r="A16" s="19" t="s">
        <v>87</v>
      </c>
    </row>
    <row r="17" customFormat="false" ht="15" hidden="false" customHeight="false" outlineLevel="0" collapsed="false">
      <c r="A17" s="2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5" min="4" style="0" width="1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2" min="11" style="0" width="15"/>
    <col collapsed="false" customWidth="true" hidden="false" outlineLevel="0" max="13" min="13" style="0" width="11"/>
  </cols>
  <sheetData>
    <row r="1" customFormat="false" ht="21.6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30" hidden="false" customHeight="true" outlineLevel="0" collapsed="false">
      <c r="A4" s="26" t="s">
        <v>91</v>
      </c>
      <c r="B4" s="26" t="s">
        <v>92</v>
      </c>
      <c r="C4" s="26" t="s">
        <v>93</v>
      </c>
      <c r="D4" s="26" t="s">
        <v>94</v>
      </c>
      <c r="E4" s="26" t="s">
        <v>95</v>
      </c>
      <c r="F4" s="26" t="s">
        <v>96</v>
      </c>
      <c r="G4" s="26" t="s">
        <v>97</v>
      </c>
      <c r="H4" s="26" t="s">
        <v>98</v>
      </c>
      <c r="I4" s="26" t="s">
        <v>99</v>
      </c>
      <c r="J4" s="26" t="s">
        <v>100</v>
      </c>
      <c r="K4" s="26" t="s">
        <v>101</v>
      </c>
      <c r="L4" s="26" t="s">
        <v>102</v>
      </c>
      <c r="M4" s="26" t="s">
        <v>103</v>
      </c>
    </row>
    <row r="5" customFormat="false" ht="15" hidden="false" customHeight="false" outlineLevel="0" collapsed="false">
      <c r="A5" s="27" t="s">
        <v>104</v>
      </c>
      <c r="B5" s="28" t="n">
        <v>127.7</v>
      </c>
      <c r="C5" s="29" t="s">
        <v>105</v>
      </c>
      <c r="D5" s="30" t="s">
        <v>106</v>
      </c>
      <c r="E5" s="31" t="s">
        <v>106</v>
      </c>
      <c r="F5" s="31" t="s">
        <v>106</v>
      </c>
      <c r="G5" s="31" t="s">
        <v>106</v>
      </c>
      <c r="H5" s="32" t="str">
        <f aca="false">IF(F5="—","—",ROUND(F5/B5,2))</f>
        <v>—</v>
      </c>
      <c r="I5" s="33" t="s">
        <v>106</v>
      </c>
      <c r="J5" s="33" t="s">
        <v>106</v>
      </c>
      <c r="K5" s="33" t="s">
        <v>106</v>
      </c>
      <c r="L5" s="33" t="s">
        <v>106</v>
      </c>
      <c r="M5" s="33" t="s">
        <v>106</v>
      </c>
    </row>
    <row r="6" customFormat="false" ht="15" hidden="false" customHeight="false" outlineLevel="0" collapsed="false">
      <c r="A6" s="30" t="s">
        <v>107</v>
      </c>
      <c r="B6" s="28" t="n">
        <v>55</v>
      </c>
      <c r="C6" s="17" t="s">
        <v>108</v>
      </c>
      <c r="D6" s="34" t="s">
        <v>109</v>
      </c>
      <c r="E6" s="31" t="n">
        <v>76000</v>
      </c>
      <c r="F6" s="31" t="n">
        <v>7150</v>
      </c>
      <c r="G6" s="31" t="n">
        <v>570</v>
      </c>
      <c r="H6" s="32" t="n">
        <f aca="false">IF(F6="—","—",ROUND(F6/B6,2))</f>
        <v>130</v>
      </c>
      <c r="I6" s="30" t="s">
        <v>110</v>
      </c>
      <c r="J6" s="30" t="s">
        <v>111</v>
      </c>
      <c r="K6" s="35" t="n">
        <v>2.2</v>
      </c>
      <c r="L6" s="36" t="n">
        <v>7.91</v>
      </c>
      <c r="M6" s="37" t="s">
        <v>112</v>
      </c>
    </row>
    <row r="7" customFormat="false" ht="15" hidden="false" customHeight="false" outlineLevel="0" collapsed="false">
      <c r="A7" s="30" t="s">
        <v>113</v>
      </c>
      <c r="B7" s="28" t="n">
        <v>63.4</v>
      </c>
      <c r="C7" s="17" t="s">
        <v>114</v>
      </c>
      <c r="D7" s="34" t="s">
        <v>115</v>
      </c>
      <c r="E7" s="31" t="n">
        <v>54000</v>
      </c>
      <c r="F7" s="31" t="n">
        <v>5070</v>
      </c>
      <c r="G7" s="31" t="n">
        <v>660</v>
      </c>
      <c r="H7" s="32" t="n">
        <f aca="false">IF(F7="—","—",ROUND(F7/B7,2))</f>
        <v>79.97</v>
      </c>
      <c r="I7" s="30" t="s">
        <v>116</v>
      </c>
      <c r="J7" s="30" t="s">
        <v>117</v>
      </c>
      <c r="K7" s="35" t="n">
        <v>2.6</v>
      </c>
      <c r="L7" s="36" t="n">
        <v>5.61</v>
      </c>
      <c r="M7" s="37" t="s">
        <v>112</v>
      </c>
    </row>
    <row r="8" customFormat="false" ht="15" hidden="false" customHeight="false" outlineLevel="0" collapsed="false">
      <c r="A8" s="30" t="s">
        <v>118</v>
      </c>
      <c r="B8" s="28" t="n">
        <v>63.4</v>
      </c>
      <c r="C8" s="18" t="s">
        <v>119</v>
      </c>
      <c r="D8" s="34" t="s">
        <v>120</v>
      </c>
      <c r="E8" s="31" t="n">
        <v>50500</v>
      </c>
      <c r="F8" s="31" t="n">
        <v>4740</v>
      </c>
      <c r="G8" s="31" t="n">
        <v>660</v>
      </c>
      <c r="H8" s="32" t="n">
        <f aca="false">IF(F8="—","—",ROUND(F8/B8,2))</f>
        <v>74.76</v>
      </c>
      <c r="I8" s="30" t="s">
        <v>121</v>
      </c>
      <c r="J8" s="30" t="s">
        <v>122</v>
      </c>
      <c r="K8" s="35" t="n">
        <v>2.8</v>
      </c>
      <c r="L8" s="36" t="n">
        <v>5.25</v>
      </c>
      <c r="M8" s="37" t="s">
        <v>112</v>
      </c>
    </row>
    <row r="9" customFormat="false" ht="15" hidden="false" customHeight="false" outlineLevel="0" collapsed="false">
      <c r="A9" s="30" t="s">
        <v>123</v>
      </c>
      <c r="B9" s="28" t="n">
        <v>63.4</v>
      </c>
      <c r="C9" s="17" t="s">
        <v>124</v>
      </c>
      <c r="D9" s="34" t="s">
        <v>120</v>
      </c>
      <c r="E9" s="31" t="n">
        <v>50500</v>
      </c>
      <c r="F9" s="31" t="n">
        <v>4740</v>
      </c>
      <c r="G9" s="31" t="n">
        <v>660</v>
      </c>
      <c r="H9" s="32" t="n">
        <f aca="false">IF(F9="—","—",ROUND(F9/B9,2))</f>
        <v>74.76</v>
      </c>
      <c r="I9" s="30" t="s">
        <v>125</v>
      </c>
      <c r="J9" s="30" t="s">
        <v>126</v>
      </c>
      <c r="K9" s="35" t="n">
        <v>2.3</v>
      </c>
      <c r="L9" s="36" t="n">
        <v>5.25</v>
      </c>
      <c r="M9" s="37" t="s">
        <v>112</v>
      </c>
    </row>
    <row r="10" customFormat="false" ht="15" hidden="false" customHeight="false" outlineLevel="0" collapsed="false">
      <c r="A10" s="30" t="s">
        <v>127</v>
      </c>
      <c r="B10" s="28" t="n">
        <v>63.4</v>
      </c>
      <c r="C10" s="17" t="s">
        <v>128</v>
      </c>
      <c r="D10" s="34" t="s">
        <v>120</v>
      </c>
      <c r="E10" s="31" t="n">
        <v>50500</v>
      </c>
      <c r="F10" s="31" t="n">
        <v>4740</v>
      </c>
      <c r="G10" s="31" t="n">
        <v>660</v>
      </c>
      <c r="H10" s="32" t="n">
        <f aca="false">IF(F10="—","—",ROUND(F10/B10,2))</f>
        <v>74.76</v>
      </c>
      <c r="I10" s="30" t="s">
        <v>129</v>
      </c>
      <c r="J10" s="30" t="s">
        <v>130</v>
      </c>
      <c r="K10" s="35" t="n">
        <v>3.5</v>
      </c>
      <c r="L10" s="36" t="n">
        <v>5.25</v>
      </c>
      <c r="M10" s="37" t="s">
        <v>112</v>
      </c>
    </row>
    <row r="11" customFormat="false" ht="15" hidden="false" customHeight="false" outlineLevel="0" collapsed="false">
      <c r="A11" s="30" t="s">
        <v>131</v>
      </c>
      <c r="B11" s="28" t="n">
        <v>63.4</v>
      </c>
      <c r="C11" s="17" t="s">
        <v>132</v>
      </c>
      <c r="D11" s="34" t="s">
        <v>120</v>
      </c>
      <c r="E11" s="31" t="n">
        <v>50500</v>
      </c>
      <c r="F11" s="31" t="n">
        <v>4740</v>
      </c>
      <c r="G11" s="31" t="n">
        <v>660</v>
      </c>
      <c r="H11" s="32" t="n">
        <f aca="false">IF(F11="—","—",ROUND(F11/B11,2))</f>
        <v>74.76</v>
      </c>
      <c r="I11" s="30" t="s">
        <v>133</v>
      </c>
      <c r="J11" s="30" t="s">
        <v>134</v>
      </c>
      <c r="K11" s="38" t="n">
        <v>4.8</v>
      </c>
      <c r="L11" s="36" t="n">
        <v>5.25</v>
      </c>
      <c r="M11" s="37" t="s">
        <v>112</v>
      </c>
    </row>
    <row r="12" customFormat="false" ht="15" hidden="false" customHeight="false" outlineLevel="0" collapsed="false">
      <c r="A12" s="30" t="s">
        <v>135</v>
      </c>
      <c r="B12" s="28" t="n">
        <v>63.4</v>
      </c>
      <c r="C12" s="17" t="s">
        <v>136</v>
      </c>
      <c r="D12" s="34" t="s">
        <v>120</v>
      </c>
      <c r="E12" s="31" t="n">
        <v>50500</v>
      </c>
      <c r="F12" s="31" t="n">
        <v>4740</v>
      </c>
      <c r="G12" s="31" t="n">
        <v>660</v>
      </c>
      <c r="H12" s="32" t="n">
        <f aca="false">IF(F12="—","—",ROUND(F12/B12,2))</f>
        <v>74.76</v>
      </c>
      <c r="I12" s="30" t="s">
        <v>137</v>
      </c>
      <c r="J12" s="30" t="s">
        <v>138</v>
      </c>
      <c r="K12" s="35" t="n">
        <v>3.1</v>
      </c>
      <c r="L12" s="36" t="n">
        <v>5.25</v>
      </c>
      <c r="M12" s="37" t="s">
        <v>112</v>
      </c>
    </row>
    <row r="13" customFormat="false" ht="15" hidden="false" customHeight="false" outlineLevel="0" collapsed="false">
      <c r="A13" s="30" t="s">
        <v>139</v>
      </c>
      <c r="B13" s="28" t="n">
        <v>63.4</v>
      </c>
      <c r="C13" s="17" t="s">
        <v>140</v>
      </c>
      <c r="D13" s="34" t="s">
        <v>120</v>
      </c>
      <c r="E13" s="31" t="n">
        <v>50500</v>
      </c>
      <c r="F13" s="31" t="n">
        <v>4740</v>
      </c>
      <c r="G13" s="31" t="n">
        <v>660</v>
      </c>
      <c r="H13" s="32" t="n">
        <f aca="false">IF(F13="—","—",ROUND(F13/B13,2))</f>
        <v>74.76</v>
      </c>
      <c r="I13" s="30" t="s">
        <v>141</v>
      </c>
      <c r="J13" s="30" t="s">
        <v>142</v>
      </c>
      <c r="K13" s="38" t="n">
        <v>5.7</v>
      </c>
      <c r="L13" s="36" t="n">
        <v>5.25</v>
      </c>
      <c r="M13" s="37" t="s">
        <v>112</v>
      </c>
    </row>
    <row r="14" customFormat="false" ht="15" hidden="false" customHeight="false" outlineLevel="0" collapsed="false">
      <c r="A14" s="30" t="s">
        <v>143</v>
      </c>
      <c r="B14" s="28" t="n">
        <v>63.4</v>
      </c>
      <c r="C14" s="17" t="s">
        <v>144</v>
      </c>
      <c r="D14" s="34" t="s">
        <v>120</v>
      </c>
      <c r="E14" s="31" t="n">
        <v>50500</v>
      </c>
      <c r="F14" s="31" t="n">
        <v>4740</v>
      </c>
      <c r="G14" s="31" t="n">
        <v>660</v>
      </c>
      <c r="H14" s="32" t="n">
        <f aca="false">IF(F14="—","—",ROUND(F14/B14,2))</f>
        <v>74.76</v>
      </c>
      <c r="I14" s="30" t="s">
        <v>145</v>
      </c>
      <c r="J14" s="30" t="s">
        <v>146</v>
      </c>
      <c r="K14" s="38" t="n">
        <v>4</v>
      </c>
      <c r="L14" s="36" t="n">
        <v>5.25</v>
      </c>
      <c r="M14" s="37" t="s">
        <v>112</v>
      </c>
    </row>
    <row r="15" customFormat="false" ht="15" hidden="false" customHeight="false" outlineLevel="0" collapsed="false">
      <c r="A15" s="30" t="s">
        <v>147</v>
      </c>
      <c r="B15" s="28" t="n">
        <v>63.4</v>
      </c>
      <c r="C15" s="17" t="s">
        <v>148</v>
      </c>
      <c r="D15" s="34" t="s">
        <v>120</v>
      </c>
      <c r="E15" s="31" t="n">
        <v>51500</v>
      </c>
      <c r="F15" s="31" t="n">
        <v>4770</v>
      </c>
      <c r="G15" s="31" t="n">
        <v>650</v>
      </c>
      <c r="H15" s="32" t="n">
        <f aca="false">IF(F15="—","—",ROUND(F15/B15,2))</f>
        <v>75.24</v>
      </c>
      <c r="I15" s="30" t="s">
        <v>149</v>
      </c>
      <c r="J15" s="30" t="s">
        <v>150</v>
      </c>
      <c r="K15" s="35" t="n">
        <v>2.2</v>
      </c>
      <c r="L15" s="36" t="n">
        <v>5.29</v>
      </c>
      <c r="M15" s="37" t="s">
        <v>112</v>
      </c>
    </row>
    <row r="16" customFormat="false" ht="15" hidden="false" customHeight="false" outlineLevel="0" collapsed="false">
      <c r="A16" s="39" t="s">
        <v>151</v>
      </c>
      <c r="B16" s="40" t="n">
        <f aca="false">SUM(B5:B15)</f>
        <v>753.3</v>
      </c>
      <c r="C16" s="41"/>
      <c r="D16" s="41"/>
      <c r="E16" s="42" t="n">
        <f aca="false">SUM(E5:E15)</f>
        <v>535000</v>
      </c>
      <c r="F16" s="42" t="n">
        <f aca="false">SUM(F5:F15)</f>
        <v>50170</v>
      </c>
      <c r="G16" s="42" t="n">
        <f aca="false">SUM(G5:G15)</f>
        <v>6500</v>
      </c>
      <c r="H16" s="41"/>
      <c r="I16" s="41"/>
      <c r="J16" s="41"/>
      <c r="K16" s="41"/>
      <c r="L16" s="41"/>
      <c r="M16" s="41"/>
    </row>
    <row r="18" customFormat="false" ht="15" hidden="false" customHeight="false" outlineLevel="0" collapsed="false">
      <c r="A18" s="16" t="s">
        <v>152</v>
      </c>
      <c r="B18" s="43" t="n">
        <f aca="false">B5/B16</f>
        <v>0.169520775255542</v>
      </c>
    </row>
    <row r="19" customFormat="false" ht="15" hidden="false" customHeight="false" outlineLevel="0" collapsed="false">
      <c r="A19" s="44" t="s">
        <v>153</v>
      </c>
      <c r="B19" s="45" t="n">
        <f aca="false">ROUND(B5*50,0)</f>
        <v>6385</v>
      </c>
      <c r="C19" s="24" t="s">
        <v>154</v>
      </c>
    </row>
    <row r="21" customFormat="false" ht="15" hidden="false" customHeight="false" outlineLevel="0" collapsed="false">
      <c r="A21" s="12" t="s">
        <v>155</v>
      </c>
    </row>
    <row r="22" customFormat="false" ht="15" hidden="false" customHeight="false" outlineLevel="0" collapsed="false">
      <c r="A22" s="19" t="s">
        <v>156</v>
      </c>
    </row>
    <row r="23" customFormat="false" ht="15" hidden="false" customHeight="false" outlineLevel="0" collapsed="false">
      <c r="A23" s="46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6"/>
  </cols>
  <sheetData>
    <row r="1" customFormat="false" ht="21.6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0" hidden="false" customHeight="true" outlineLevel="0" collapsed="false">
      <c r="A4" s="26" t="s">
        <v>23</v>
      </c>
      <c r="B4" s="26" t="s">
        <v>71</v>
      </c>
      <c r="C4" s="26" t="s">
        <v>160</v>
      </c>
    </row>
    <row r="5" customFormat="false" ht="15" hidden="false" customHeight="false" outlineLevel="0" collapsed="false">
      <c r="A5" s="16" t="s">
        <v>161</v>
      </c>
      <c r="B5" s="21" t="n">
        <v>25000000000</v>
      </c>
      <c r="C5" s="22" t="s">
        <v>162</v>
      </c>
    </row>
    <row r="6" customFormat="false" ht="15" hidden="false" customHeight="false" outlineLevel="0" collapsed="false">
      <c r="A6" s="24" t="s">
        <v>163</v>
      </c>
      <c r="B6" s="23" t="n">
        <f aca="false">ROUND(B5*0.046,0)</f>
        <v>1150000000</v>
      </c>
      <c r="C6" s="24" t="s">
        <v>164</v>
      </c>
    </row>
    <row r="7" customFormat="false" ht="15" hidden="false" customHeight="false" outlineLevel="0" collapsed="false">
      <c r="A7" s="24" t="s">
        <v>165</v>
      </c>
      <c r="B7" s="23" t="n">
        <f aca="false">ROUND(B5*0.009,0)</f>
        <v>225000000</v>
      </c>
      <c r="C7" s="24" t="s">
        <v>166</v>
      </c>
    </row>
    <row r="8" customFormat="false" ht="15" hidden="false" customHeight="false" outlineLevel="0" collapsed="false">
      <c r="A8" s="24" t="s">
        <v>167</v>
      </c>
      <c r="B8" s="21" t="n">
        <v>50000000</v>
      </c>
      <c r="C8" s="24" t="s">
        <v>168</v>
      </c>
    </row>
    <row r="9" customFormat="false" ht="15" hidden="false" customHeight="false" outlineLevel="0" collapsed="false">
      <c r="A9" s="24" t="s">
        <v>169</v>
      </c>
      <c r="B9" s="21" t="n">
        <v>30000000</v>
      </c>
      <c r="C9" s="24" t="s">
        <v>168</v>
      </c>
    </row>
    <row r="10" customFormat="false" ht="15" hidden="false" customHeight="false" outlineLevel="0" collapsed="false">
      <c r="A10" s="47" t="s">
        <v>170</v>
      </c>
      <c r="B10" s="48" t="n">
        <f aca="false">SUM(B5:B9)</f>
        <v>26455000000</v>
      </c>
      <c r="C10" s="49" t="s">
        <v>171</v>
      </c>
    </row>
    <row r="12" customFormat="false" ht="17.15" hidden="false" customHeight="false" outlineLevel="0" collapsed="false">
      <c r="A12" s="50" t="s">
        <v>172</v>
      </c>
    </row>
    <row r="13" customFormat="false" ht="30" hidden="false" customHeight="true" outlineLevel="0" collapsed="false">
      <c r="A13" s="26" t="s">
        <v>83</v>
      </c>
      <c r="B13" s="26" t="s">
        <v>173</v>
      </c>
      <c r="C13" s="26" t="s">
        <v>84</v>
      </c>
    </row>
    <row r="14" customFormat="false" ht="15" hidden="false" customHeight="false" outlineLevel="0" collapsed="false">
      <c r="A14" s="16" t="s">
        <v>174</v>
      </c>
      <c r="B14" s="24" t="s">
        <v>175</v>
      </c>
      <c r="C14" s="25" t="n">
        <f aca="false">50170000*12/(B5-535000000)</f>
        <v>0.0246082158185162</v>
      </c>
    </row>
    <row r="15" customFormat="false" ht="15" hidden="false" customHeight="false" outlineLevel="0" collapsed="false">
      <c r="A15" s="16" t="s">
        <v>176</v>
      </c>
      <c r="B15" s="24" t="s">
        <v>177</v>
      </c>
      <c r="C15" s="51" t="n">
        <f aca="false">50170000*12/B5</f>
        <v>0.0240816</v>
      </c>
    </row>
    <row r="16" customFormat="false" ht="15" hidden="false" customHeight="false" outlineLevel="0" collapsed="false">
      <c r="A16" s="16" t="s">
        <v>178</v>
      </c>
      <c r="B16" s="22" t="s">
        <v>179</v>
      </c>
      <c r="C16" s="51" t="n">
        <f aca="false">(50170000+6480000)*12*0.78/B5</f>
        <v>0.02120976</v>
      </c>
    </row>
    <row r="17" customFormat="false" ht="15" hidden="false" customHeight="false" outlineLevel="0" collapsed="false">
      <c r="A17" s="16" t="s">
        <v>180</v>
      </c>
      <c r="B17" s="22" t="s">
        <v>181</v>
      </c>
      <c r="C17" s="52" t="n">
        <f aca="false">(50170000+6480000)*12*0.78/B10</f>
        <v>0.0200432432432432</v>
      </c>
    </row>
    <row r="19" customFormat="false" ht="15" hidden="false" customHeight="false" outlineLevel="0" collapsed="false">
      <c r="A19" s="53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30" hidden="false" customHeight="true" outlineLevel="0" collapsed="false">
      <c r="A4" s="26" t="s">
        <v>185</v>
      </c>
      <c r="B4" s="26" t="s">
        <v>186</v>
      </c>
      <c r="C4" s="26" t="s">
        <v>31</v>
      </c>
      <c r="D4" s="26" t="s">
        <v>187</v>
      </c>
      <c r="E4" s="26" t="s">
        <v>188</v>
      </c>
      <c r="F4" s="26" t="s">
        <v>71</v>
      </c>
      <c r="G4" s="26" t="s">
        <v>189</v>
      </c>
      <c r="H4" s="26" t="s">
        <v>72</v>
      </c>
    </row>
    <row r="5" customFormat="false" ht="15" hidden="false" customHeight="false" outlineLevel="0" collapsed="false">
      <c r="A5" s="17" t="s">
        <v>190</v>
      </c>
      <c r="B5" s="30" t="s">
        <v>191</v>
      </c>
      <c r="C5" s="34" t="s">
        <v>192</v>
      </c>
      <c r="D5" s="31" t="n">
        <v>188</v>
      </c>
      <c r="E5" s="31" t="n">
        <v>912</v>
      </c>
      <c r="F5" s="31" t="n">
        <v>29500000000</v>
      </c>
      <c r="G5" s="54" t="n">
        <f aca="false">ROUND(F5/D5,0)</f>
        <v>156914894</v>
      </c>
      <c r="H5" s="18" t="s">
        <v>193</v>
      </c>
    </row>
    <row r="6" customFormat="false" ht="15" hidden="false" customHeight="false" outlineLevel="0" collapsed="false">
      <c r="A6" s="17" t="s">
        <v>194</v>
      </c>
      <c r="B6" s="30" t="s">
        <v>195</v>
      </c>
      <c r="C6" s="34" t="s">
        <v>192</v>
      </c>
      <c r="D6" s="31" t="n">
        <v>142</v>
      </c>
      <c r="E6" s="31" t="n">
        <v>668</v>
      </c>
      <c r="F6" s="31" t="n">
        <v>21000000000</v>
      </c>
      <c r="G6" s="54" t="n">
        <f aca="false">ROUND(F6/D6,0)</f>
        <v>147887324</v>
      </c>
      <c r="H6" s="18" t="s">
        <v>196</v>
      </c>
    </row>
    <row r="7" customFormat="false" ht="15" hidden="false" customHeight="false" outlineLevel="0" collapsed="false">
      <c r="A7" s="17" t="s">
        <v>197</v>
      </c>
      <c r="B7" s="30" t="s">
        <v>198</v>
      </c>
      <c r="C7" s="34" t="s">
        <v>192</v>
      </c>
      <c r="D7" s="31" t="n">
        <v>203</v>
      </c>
      <c r="E7" s="31" t="n">
        <v>1024</v>
      </c>
      <c r="F7" s="31" t="n">
        <v>33000000000</v>
      </c>
      <c r="G7" s="54" t="n">
        <f aca="false">ROUND(F7/D7,0)</f>
        <v>162561576</v>
      </c>
      <c r="H7" s="17" t="s">
        <v>199</v>
      </c>
    </row>
    <row r="8" customFormat="false" ht="15" hidden="false" customHeight="false" outlineLevel="0" collapsed="false">
      <c r="A8" s="47" t="s">
        <v>200</v>
      </c>
      <c r="B8" s="55" t="s">
        <v>106</v>
      </c>
      <c r="C8" s="56" t="s">
        <v>192</v>
      </c>
      <c r="D8" s="57" t="n">
        <v>156.91</v>
      </c>
      <c r="E8" s="58" t="n">
        <v>753.4</v>
      </c>
      <c r="F8" s="42" t="n">
        <v>25000000000</v>
      </c>
      <c r="G8" s="42" t="n">
        <f aca="false">ROUND(F8/D8,0)</f>
        <v>159327003</v>
      </c>
      <c r="H8" s="59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2026-08-03T04:45:36Z</dcterms:created>
  <dc:creator>openpyxl</dc:creator>
  <dc:description/>
  <dc:language>en-US</dc:language>
  <cp:lastModifiedBy/>
  <dcterms:modified xsi:type="dcterms:W3CDTF">2026-08-03T04:45:37Z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