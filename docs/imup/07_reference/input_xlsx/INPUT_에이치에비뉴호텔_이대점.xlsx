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0_안내" sheetId="1" state="visible" r:id="rId3"/>
    <sheet name="S01_물건개요" sheetId="2" state="visible" r:id="rId4"/>
    <sheet name="P01_객실구성" sheetId="3" state="visible" r:id="rId5"/>
    <sheet name="P02_운영지표" sheetId="4" state="visible" r:id="rId6"/>
    <sheet name="P03_수익구조" sheetId="5" state="visible" r:id="rId7"/>
    <sheet name="P04_물건상세" sheetId="6" state="visible" r:id="rId8"/>
    <sheet name="P05_취득원가_리스크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<sst xmlns="http://schemas.openxmlformats.org/spreadsheetml/2006/main" count="234" uniqueCount="179">
  <si>
    <t xml:space="preserve">입력 안내</t>
  </si>
  <si>
    <r>
      <rPr>
        <sz val="9.5"/>
        <color rgb="FF7A8794"/>
        <rFont val="Arial"/>
        <family val="0"/>
        <charset val="1"/>
      </rPr>
      <t xml:space="preserve">CREDEAL IM Studio — S_ </t>
    </r>
    <r>
      <rPr>
        <sz val="9.5"/>
        <color rgb="FF7A8794"/>
        <rFont val="Noto Sans CJK SC"/>
        <family val="2"/>
      </rPr>
      <t xml:space="preserve">시트 </t>
    </r>
    <r>
      <rPr>
        <sz val="9.5"/>
        <color rgb="FF7A8794"/>
        <rFont val="Arial"/>
        <family val="0"/>
        <charset val="1"/>
      </rPr>
      <t xml:space="preserve">= </t>
    </r>
    <r>
      <rPr>
        <sz val="9.5"/>
        <color rgb="FF7A8794"/>
        <rFont val="Noto Sans CJK SC"/>
        <family val="2"/>
      </rPr>
      <t xml:space="preserve">표준 모드 </t>
    </r>
    <r>
      <rPr>
        <sz val="9.5"/>
        <color rgb="FF7A8794"/>
        <rFont val="Arial"/>
        <family val="0"/>
        <charset val="1"/>
      </rPr>
      <t xml:space="preserve">· P_ </t>
    </r>
    <r>
      <rPr>
        <sz val="9.5"/>
        <color rgb="FF7A8794"/>
        <rFont val="Noto Sans CJK SC"/>
        <family val="2"/>
      </rPr>
      <t xml:space="preserve">시트 </t>
    </r>
    <r>
      <rPr>
        <sz val="9.5"/>
        <color rgb="FF7A8794"/>
        <rFont val="Arial"/>
        <family val="0"/>
        <charset val="1"/>
      </rPr>
      <t xml:space="preserve">= </t>
    </r>
    <r>
      <rPr>
        <sz val="9.5"/>
        <color rgb="FF7A8794"/>
        <rFont val="Noto Sans CJK SC"/>
        <family val="2"/>
      </rPr>
      <t xml:space="preserve">정밀 모드</t>
    </r>
  </si>
  <si>
    <t xml:space="preserve">범례</t>
  </si>
  <si>
    <r>
      <rPr>
        <sz val="10"/>
        <color rgb="FF0000FF"/>
        <rFont val="Noto Sans CJK SC"/>
        <family val="2"/>
      </rPr>
      <t xml:space="preserve">파란 글씨 </t>
    </r>
    <r>
      <rPr>
        <sz val="10"/>
        <color rgb="FF0000FF"/>
        <rFont val="Arial"/>
        <family val="0"/>
        <charset val="1"/>
      </rPr>
      <t xml:space="preserve">= </t>
    </r>
    <r>
      <rPr>
        <sz val="10"/>
        <color rgb="FF0000FF"/>
        <rFont val="Noto Sans CJK SC"/>
        <family val="2"/>
      </rPr>
      <t xml:space="preserve">중개인이 입력하는 값</t>
    </r>
  </si>
  <si>
    <r>
      <rPr>
        <sz val="10"/>
        <rFont val="Noto Sans CJK SC"/>
        <family val="2"/>
      </rPr>
      <t xml:space="preserve">검은 글씨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수식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수정 금지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</si>
  <si>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노란 배경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필수 항목</t>
    </r>
  </si>
  <si>
    <r>
      <rPr>
        <sz val="10"/>
        <color rgb="FF6D4AA8"/>
        <rFont val="Noto Sans CJK SC"/>
        <family val="2"/>
      </rPr>
      <t xml:space="preserve">보라 헤더 </t>
    </r>
    <r>
      <rPr>
        <sz val="10"/>
        <color rgb="FF6D4AA8"/>
        <rFont val="Arial"/>
        <family val="0"/>
        <charset val="1"/>
      </rPr>
      <t xml:space="preserve">= </t>
    </r>
    <r>
      <rPr>
        <sz val="10"/>
        <color rgb="FF6D4AA8"/>
        <rFont val="Noto Sans CJK SC"/>
        <family val="2"/>
      </rPr>
      <t xml:space="preserve">정밀 모드 전용 </t>
    </r>
    <r>
      <rPr>
        <sz val="10"/>
        <color rgb="FF6D4AA8"/>
        <rFont val="Arial"/>
        <family val="0"/>
        <charset val="1"/>
      </rPr>
      <t xml:space="preserve">(</t>
    </r>
    <r>
      <rPr>
        <sz val="10"/>
        <color rgb="FF6D4AA8"/>
        <rFont val="Noto Sans CJK SC"/>
        <family val="2"/>
      </rPr>
      <t xml:space="preserve">가상 증강</t>
    </r>
    <r>
      <rPr>
        <sz val="10"/>
        <color rgb="FF6D4AA8"/>
        <rFont val="Arial"/>
        <family val="0"/>
        <charset val="1"/>
      </rPr>
      <t xml:space="preserve">)</t>
    </r>
  </si>
  <si>
    <t xml:space="preserve">시트 구성</t>
  </si>
  <si>
    <r>
      <rPr>
        <b val="true"/>
        <sz val="10"/>
        <color rgb="FF111827"/>
        <rFont val="Arial"/>
        <family val="0"/>
        <charset val="1"/>
      </rPr>
      <t xml:space="preserve">S01_</t>
    </r>
    <r>
      <rPr>
        <b val="true"/>
        <sz val="10"/>
        <color rgb="FF111827"/>
        <rFont val="Noto Sans CJK SC"/>
        <family val="2"/>
      </rPr>
      <t xml:space="preserve">물건개요</t>
    </r>
  </si>
  <si>
    <r>
      <rPr>
        <sz val="10"/>
        <rFont val="Arial"/>
        <family val="0"/>
        <charset val="1"/>
      </rPr>
      <t xml:space="preserve">IM </t>
    </r>
    <r>
      <rPr>
        <sz val="10"/>
        <rFont val="Noto Sans CJK SC"/>
        <family val="2"/>
      </rPr>
      <t xml:space="preserve">확인 가능분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객실수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매각가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입지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</si>
  <si>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color rgb="FF6D4AA8"/>
        <rFont val="Arial"/>
        <family val="0"/>
        <charset val="1"/>
      </rPr>
      <t xml:space="preserve">P01_</t>
    </r>
    <r>
      <rPr>
        <b val="true"/>
        <sz val="10"/>
        <color rgb="FF6D4AA8"/>
        <rFont val="Noto Sans CJK SC"/>
        <family val="2"/>
      </rPr>
      <t xml:space="preserve">객실구성</t>
    </r>
  </si>
  <si>
    <r>
      <rPr>
        <sz val="10"/>
        <rFont val="Noto Sans CJK SC"/>
        <family val="2"/>
      </rPr>
      <t xml:space="preserve">타입별 객실 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면적</t>
    </r>
  </si>
  <si>
    <r>
      <rPr>
        <b val="true"/>
        <sz val="10"/>
        <color rgb="FF6D4AA8"/>
        <rFont val="Arial"/>
        <family val="0"/>
        <charset val="1"/>
      </rPr>
      <t xml:space="preserve">P02_</t>
    </r>
    <r>
      <rPr>
        <b val="true"/>
        <sz val="10"/>
        <color rgb="FF6D4AA8"/>
        <rFont val="Noto Sans CJK SC"/>
        <family val="2"/>
      </rPr>
      <t xml:space="preserve">운영지표</t>
    </r>
  </si>
  <si>
    <r>
      <rPr>
        <sz val="10"/>
        <rFont val="Arial"/>
        <family val="0"/>
        <charset val="1"/>
      </rPr>
      <t xml:space="preserve">ADR·OCC·RevPAR·</t>
    </r>
    <r>
      <rPr>
        <sz val="10"/>
        <rFont val="Noto Sans CJK SC"/>
        <family val="2"/>
      </rPr>
      <t xml:space="preserve">계절성</t>
    </r>
  </si>
  <si>
    <r>
      <rPr>
        <b val="true"/>
        <sz val="10"/>
        <color rgb="FF6D4AA8"/>
        <rFont val="Arial"/>
        <family val="0"/>
        <charset val="1"/>
      </rPr>
      <t xml:space="preserve">P03_</t>
    </r>
    <r>
      <rPr>
        <b val="true"/>
        <sz val="10"/>
        <color rgb="FF6D4AA8"/>
        <rFont val="Noto Sans CJK SC"/>
        <family val="2"/>
      </rPr>
      <t xml:space="preserve">수익구조</t>
    </r>
  </si>
  <si>
    <r>
      <rPr>
        <sz val="10"/>
        <rFont val="Noto Sans CJK SC"/>
        <family val="2"/>
      </rPr>
      <t xml:space="preserve">매출</t>
    </r>
    <r>
      <rPr>
        <sz val="10"/>
        <rFont val="Arial"/>
        <family val="0"/>
        <charset val="1"/>
      </rPr>
      <t xml:space="preserve">·GOP·Cap Rate</t>
    </r>
  </si>
  <si>
    <r>
      <rPr>
        <b val="true"/>
        <sz val="10"/>
        <color rgb="FF6D4AA8"/>
        <rFont val="Arial"/>
        <family val="0"/>
        <charset val="1"/>
      </rPr>
      <t xml:space="preserve">P04_</t>
    </r>
    <r>
      <rPr>
        <b val="true"/>
        <sz val="10"/>
        <color rgb="FF6D4AA8"/>
        <rFont val="Noto Sans CJK SC"/>
        <family val="2"/>
      </rPr>
      <t xml:space="preserve">물건상세</t>
    </r>
  </si>
  <si>
    <r>
      <rPr>
        <sz val="10"/>
        <rFont val="Noto Sans CJK SC"/>
        <family val="2"/>
      </rPr>
      <t xml:space="preserve">대지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건물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용도지역</t>
    </r>
  </si>
  <si>
    <r>
      <rPr>
        <b val="true"/>
        <sz val="10"/>
        <color rgb="FF6D4AA8"/>
        <rFont val="Arial"/>
        <family val="0"/>
        <charset val="1"/>
      </rPr>
      <t xml:space="preserve">P05_</t>
    </r>
    <r>
      <rPr>
        <b val="true"/>
        <sz val="10"/>
        <color rgb="FF6D4AA8"/>
        <rFont val="Noto Sans CJK SC"/>
        <family val="2"/>
      </rPr>
      <t xml:space="preserve">취득원가</t>
    </r>
    <r>
      <rPr>
        <b val="true"/>
        <sz val="10"/>
        <color rgb="FF6D4AA8"/>
        <rFont val="Arial"/>
        <family val="0"/>
        <charset val="1"/>
      </rPr>
      <t xml:space="preserve">_</t>
    </r>
    <r>
      <rPr>
        <b val="true"/>
        <sz val="10"/>
        <color rgb="FF6D4AA8"/>
        <rFont val="Noto Sans CJK SC"/>
        <family val="2"/>
      </rPr>
      <t xml:space="preserve">리스크</t>
    </r>
  </si>
  <si>
    <r>
      <rPr>
        <sz val="10"/>
        <rFont val="Noto Sans CJK SC"/>
        <family val="2"/>
      </rPr>
      <t xml:space="preserve">부대비용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호텔 특유 리스크</t>
    </r>
  </si>
  <si>
    <r>
      <rPr>
        <sz val="9"/>
        <color rgb="FFA33A3D"/>
        <rFont val="Noto Sans CJK SC"/>
        <family val="2"/>
      </rPr>
      <t xml:space="preserve">자산군 </t>
    </r>
    <r>
      <rPr>
        <sz val="9"/>
        <color rgb="FFA33A3D"/>
        <rFont val="Arial"/>
        <family val="0"/>
        <charset val="1"/>
      </rPr>
      <t xml:space="preserve">= hospitality (</t>
    </r>
    <r>
      <rPr>
        <sz val="9"/>
        <color rgb="FFA33A3D"/>
        <rFont val="Noto Sans CJK SC"/>
        <family val="2"/>
      </rPr>
      <t xml:space="preserve">숙박</t>
    </r>
    <r>
      <rPr>
        <sz val="9"/>
        <color rgb="FFA33A3D"/>
        <rFont val="Arial"/>
        <family val="0"/>
        <charset val="1"/>
      </rPr>
      <t xml:space="preserve">) — </t>
    </r>
    <r>
      <rPr>
        <sz val="9"/>
        <color rgb="FFA33A3D"/>
        <rFont val="Noto Sans CJK SC"/>
        <family val="2"/>
      </rPr>
      <t xml:space="preserve">온톨로지 </t>
    </r>
    <r>
      <rPr>
        <sz val="9"/>
        <color rgb="FFA33A3D"/>
        <rFont val="Arial"/>
        <family val="0"/>
        <charset val="1"/>
      </rPr>
      <t xml:space="preserve">v0.3</t>
    </r>
    <r>
      <rPr>
        <sz val="9"/>
        <color rgb="FFA33A3D"/>
        <rFont val="Noto Sans CJK SC"/>
        <family val="2"/>
      </rPr>
      <t xml:space="preserve">에 없는 신규 자산군</t>
    </r>
  </si>
  <si>
    <r>
      <rPr>
        <sz val="9"/>
        <color rgb="FFA33A3D"/>
        <rFont val="Noto Sans CJK SC"/>
        <family val="2"/>
      </rPr>
      <t xml:space="preserve">첨부 </t>
    </r>
    <r>
      <rPr>
        <sz val="9"/>
        <color rgb="FFA33A3D"/>
        <rFont val="Arial"/>
        <family val="0"/>
        <charset val="1"/>
      </rPr>
      <t xml:space="preserve">IM</t>
    </r>
    <r>
      <rPr>
        <sz val="9"/>
        <color rgb="FFA33A3D"/>
        <rFont val="Noto Sans CJK SC"/>
        <family val="2"/>
      </rPr>
      <t xml:space="preserve">은 </t>
    </r>
    <r>
      <rPr>
        <sz val="9"/>
        <color rgb="FFA33A3D"/>
        <rFont val="Arial"/>
        <family val="0"/>
        <charset val="1"/>
      </rPr>
      <t xml:space="preserve">2</t>
    </r>
    <r>
      <rPr>
        <sz val="9"/>
        <color rgb="FFA33A3D"/>
        <rFont val="Noto Sans CJK SC"/>
        <family val="2"/>
      </rPr>
      <t xml:space="preserve">슬라이드 티저로 자료등급 </t>
    </r>
    <r>
      <rPr>
        <sz val="9"/>
        <color rgb="FFA33A3D"/>
        <rFont val="Arial"/>
        <family val="0"/>
        <charset val="1"/>
      </rPr>
      <t xml:space="preserve">D(5.03</t>
    </r>
    <r>
      <rPr>
        <sz val="9"/>
        <color rgb="FFA33A3D"/>
        <rFont val="Noto Sans CJK SC"/>
        <family val="2"/>
      </rPr>
      <t xml:space="preserve">점</t>
    </r>
    <r>
      <rPr>
        <sz val="9"/>
        <color rgb="FFA33A3D"/>
        <rFont val="Arial"/>
        <family val="0"/>
        <charset val="1"/>
      </rPr>
      <t xml:space="preserve">) — </t>
    </r>
    <r>
      <rPr>
        <sz val="9"/>
        <color rgb="FFA33A3D"/>
        <rFont val="Noto Sans CJK SC"/>
        <family val="2"/>
      </rPr>
      <t xml:space="preserve">발행 불가 수준입니다</t>
    </r>
  </si>
  <si>
    <r>
      <rPr>
        <sz val="9"/>
        <color rgb="FF7A8794"/>
        <rFont val="Arial"/>
        <family val="0"/>
        <charset val="1"/>
      </rPr>
      <t xml:space="preserve">P_ </t>
    </r>
    <r>
      <rPr>
        <sz val="9"/>
        <color rgb="FF7A8794"/>
        <rFont val="Noto Sans CJK SC"/>
        <family val="2"/>
      </rPr>
      <t xml:space="preserve">시트 전부 가상 증강입니다</t>
    </r>
  </si>
  <si>
    <t xml:space="preserve">물건 개요</t>
  </si>
  <si>
    <r>
      <rPr>
        <sz val="9.5"/>
        <color rgb="FF7A8794"/>
        <rFont val="Noto Sans CJK SC"/>
        <family val="2"/>
      </rPr>
      <t xml:space="preserve">첨부 </t>
    </r>
    <r>
      <rPr>
        <sz val="9.5"/>
        <color rgb="FF7A8794"/>
        <rFont val="Arial"/>
        <family val="0"/>
        <charset val="1"/>
      </rPr>
      <t xml:space="preserve">IM </t>
    </r>
    <r>
      <rPr>
        <sz val="9.5"/>
        <color rgb="FF7A8794"/>
        <rFont val="Noto Sans CJK SC"/>
        <family val="2"/>
      </rPr>
      <t xml:space="preserve">확인 가능분 — </t>
    </r>
    <r>
      <rPr>
        <sz val="9.5"/>
        <color rgb="FF7A8794"/>
        <rFont val="Arial"/>
        <family val="0"/>
        <charset val="1"/>
      </rPr>
      <t xml:space="preserve">4</t>
    </r>
    <r>
      <rPr>
        <sz val="9.5"/>
        <color rgb="FF7A8794"/>
        <rFont val="Noto Sans CJK SC"/>
        <family val="2"/>
      </rPr>
      <t xml:space="preserve">개 항목뿐</t>
    </r>
  </si>
  <si>
    <t xml:space="preserve">구분</t>
  </si>
  <si>
    <t xml:space="preserve">내용</t>
  </si>
  <si>
    <t xml:space="preserve">출처</t>
  </si>
  <si>
    <t xml:space="preserve">물건명</t>
  </si>
  <si>
    <r>
      <rPr>
        <sz val="10"/>
        <color rgb="FF0000FF"/>
        <rFont val="Noto Sans CJK SC"/>
        <family val="2"/>
      </rPr>
      <t xml:space="preserve">에이치 에비뉴호텔 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이대점</t>
    </r>
    <r>
      <rPr>
        <sz val="10"/>
        <color rgb="FF0000FF"/>
        <rFont val="Arial"/>
        <family val="0"/>
        <charset val="1"/>
      </rPr>
      <t xml:space="preserve">)</t>
    </r>
  </si>
  <si>
    <t xml:space="preserve">IM</t>
  </si>
  <si>
    <t xml:space="preserve">입지</t>
  </si>
  <si>
    <r>
      <rPr>
        <sz val="10"/>
        <color rgb="FF0000FF"/>
        <rFont val="Noto Sans CJK SC"/>
        <family val="2"/>
      </rPr>
      <t xml:space="preserve">이대역 도보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분 </t>
    </r>
    <r>
      <rPr>
        <sz val="10"/>
        <color rgb="FF0000FF"/>
        <rFont val="Arial"/>
        <family val="0"/>
        <charset val="1"/>
      </rPr>
      <t xml:space="preserve">· </t>
    </r>
    <r>
      <rPr>
        <sz val="10"/>
        <color rgb="FF0000FF"/>
        <rFont val="Noto Sans CJK SC"/>
        <family val="2"/>
      </rPr>
      <t xml:space="preserve">신촌 대학가</t>
    </r>
  </si>
  <si>
    <t xml:space="preserve">객실 수</t>
  </si>
  <si>
    <r>
      <rPr>
        <sz val="10"/>
        <color rgb="FF0000FF"/>
        <rFont val="Arial"/>
        <family val="0"/>
        <charset val="1"/>
      </rPr>
      <t xml:space="preserve">94</t>
    </r>
    <r>
      <rPr>
        <sz val="10"/>
        <color rgb="FF0000FF"/>
        <rFont val="Noto Sans CJK SC"/>
        <family val="2"/>
      </rPr>
      <t xml:space="preserve">실</t>
    </r>
  </si>
  <si>
    <t xml:space="preserve">매각가</t>
  </si>
  <si>
    <r>
      <rPr>
        <sz val="10"/>
        <color rgb="FF0000FF"/>
        <rFont val="Arial"/>
        <family val="0"/>
        <charset val="1"/>
      </rPr>
      <t xml:space="preserve">30,000,000,000</t>
    </r>
    <r>
      <rPr>
        <sz val="10"/>
        <color rgb="FF0000FF"/>
        <rFont val="Noto Sans CJK SC"/>
        <family val="2"/>
      </rPr>
      <t xml:space="preserve">원 </t>
    </r>
    <r>
      <rPr>
        <sz val="10"/>
        <color rgb="FF0000FF"/>
        <rFont val="Arial"/>
        <family val="0"/>
        <charset val="1"/>
      </rPr>
      <t xml:space="preserve">(300</t>
    </r>
    <r>
      <rPr>
        <sz val="10"/>
        <color rgb="FF0000FF"/>
        <rFont val="Noto Sans CJK SC"/>
        <family val="2"/>
      </rPr>
      <t xml:space="preserve">억</t>
    </r>
    <r>
      <rPr>
        <sz val="10"/>
        <color rgb="FF0000FF"/>
        <rFont val="Arial"/>
        <family val="0"/>
        <charset val="1"/>
      </rPr>
      <t xml:space="preserve">)</t>
    </r>
  </si>
  <si>
    <t xml:space="preserve">소재지</t>
  </si>
  <si>
    <t xml:space="preserve">미기재</t>
  </si>
  <si>
    <t xml:space="preserve">대지면적</t>
  </si>
  <si>
    <t xml:space="preserve">연면적</t>
  </si>
  <si>
    <t xml:space="preserve">준공</t>
  </si>
  <si>
    <t xml:space="preserve">용도지역</t>
  </si>
  <si>
    <t xml:space="preserve">운영 형태</t>
  </si>
  <si>
    <t xml:space="preserve">ADR · OCC</t>
  </si>
  <si>
    <t xml:space="preserve">등급</t>
  </si>
  <si>
    <t xml:space="preserve">객실당 단가</t>
  </si>
  <si>
    <r>
      <rPr>
        <sz val="9"/>
        <color rgb="FFA33A3D"/>
        <rFont val="Noto Sans CJK SC"/>
        <family val="2"/>
      </rPr>
      <t xml:space="preserve">★ 확인 가능한 항목이 </t>
    </r>
    <r>
      <rPr>
        <sz val="9"/>
        <color rgb="FFA33A3D"/>
        <rFont val="Arial"/>
        <family val="0"/>
        <charset val="1"/>
      </rPr>
      <t xml:space="preserve">4</t>
    </r>
    <r>
      <rPr>
        <sz val="9"/>
        <color rgb="FFA33A3D"/>
        <rFont val="Noto Sans CJK SC"/>
        <family val="2"/>
      </rPr>
      <t xml:space="preserve">개뿐입니다</t>
    </r>
    <r>
      <rPr>
        <sz val="9"/>
        <color rgb="FFA33A3D"/>
        <rFont val="Arial"/>
        <family val="0"/>
        <charset val="1"/>
      </rPr>
      <t xml:space="preserve">. </t>
    </r>
    <r>
      <rPr>
        <sz val="9"/>
        <color rgb="FFA33A3D"/>
        <rFont val="Noto Sans CJK SC"/>
        <family val="2"/>
      </rPr>
      <t xml:space="preserve">자료등급 </t>
    </r>
    <r>
      <rPr>
        <sz val="9"/>
        <color rgb="FFA33A3D"/>
        <rFont val="Arial"/>
        <family val="0"/>
        <charset val="1"/>
      </rPr>
      <t xml:space="preserve">D</t>
    </r>
    <r>
      <rPr>
        <sz val="9"/>
        <color rgb="FFA33A3D"/>
        <rFont val="Noto Sans CJK SC"/>
        <family val="2"/>
      </rPr>
      <t xml:space="preserve">로 발행이 차단되며</t>
    </r>
    <r>
      <rPr>
        <sz val="9"/>
        <color rgb="FFA33A3D"/>
        <rFont val="Arial"/>
        <family val="0"/>
        <charset val="1"/>
      </rPr>
      <t xml:space="preserve">, </t>
    </r>
    <r>
      <rPr>
        <sz val="9"/>
        <color rgb="FFA33A3D"/>
        <rFont val="Noto Sans CJK SC"/>
        <family val="2"/>
      </rPr>
      <t xml:space="preserve">최소 </t>
    </r>
    <r>
      <rPr>
        <sz val="9"/>
        <color rgb="FFA33A3D"/>
        <rFont val="Arial"/>
        <family val="0"/>
        <charset val="1"/>
      </rPr>
      <t xml:space="preserve">P01~P04</t>
    </r>
    <r>
      <rPr>
        <sz val="9"/>
        <color rgb="FFA33A3D"/>
        <rFont val="Noto Sans CJK SC"/>
        <family val="2"/>
      </rPr>
      <t xml:space="preserve">를 채워야 </t>
    </r>
    <r>
      <rPr>
        <sz val="9"/>
        <color rgb="FFA33A3D"/>
        <rFont val="Arial"/>
        <family val="0"/>
        <charset val="1"/>
      </rPr>
      <t xml:space="preserve">IM </t>
    </r>
    <r>
      <rPr>
        <sz val="9"/>
        <color rgb="FFA33A3D"/>
        <rFont val="Noto Sans CJK SC"/>
        <family val="2"/>
      </rPr>
      <t xml:space="preserve">작성이 가능합니다</t>
    </r>
    <r>
      <rPr>
        <sz val="9"/>
        <color rgb="FFA33A3D"/>
        <rFont val="Arial"/>
        <family val="0"/>
        <charset val="1"/>
      </rPr>
      <t xml:space="preserve">.</t>
    </r>
  </si>
  <si>
    <t xml:space="preserve">객실 구성</t>
  </si>
  <si>
    <r>
      <rPr>
        <sz val="9.5"/>
        <color rgb="FF7A8794"/>
        <rFont val="Arial"/>
        <family val="0"/>
        <charset val="1"/>
      </rPr>
      <t xml:space="preserve">[</t>
    </r>
    <r>
      <rPr>
        <sz val="9.5"/>
        <color rgb="FF7A8794"/>
        <rFont val="Noto Sans CJK SC"/>
        <family val="2"/>
      </rPr>
      <t xml:space="preserve">가상 증강 </t>
    </r>
    <r>
      <rPr>
        <sz val="9.5"/>
        <color rgb="FF7A8794"/>
        <rFont val="Arial"/>
        <family val="0"/>
        <charset val="1"/>
      </rPr>
      <t xml:space="preserve">· </t>
    </r>
    <r>
      <rPr>
        <sz val="9.5"/>
        <color rgb="FF7A8794"/>
        <rFont val="Noto Sans CJK SC"/>
        <family val="2"/>
      </rPr>
      <t xml:space="preserve">테스트용</t>
    </r>
    <r>
      <rPr>
        <sz val="9.5"/>
        <color rgb="FF7A8794"/>
        <rFont val="Arial"/>
        <family val="0"/>
        <charset val="1"/>
      </rPr>
      <t xml:space="preserve">]</t>
    </r>
  </si>
  <si>
    <t xml:space="preserve">객실 타입</t>
  </si>
  <si>
    <r>
      <rPr>
        <b val="true"/>
        <sz val="9"/>
        <color rgb="FFFFFFFF"/>
        <rFont val="Noto Sans CJK SC"/>
        <family val="2"/>
      </rPr>
      <t xml:space="preserve">전용면적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㎡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</si>
  <si>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면적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평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</si>
  <si>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타입 비중</t>
  </si>
  <si>
    <t xml:space="preserve">비고</t>
  </si>
  <si>
    <t xml:space="preserve">스탠다드 더블</t>
  </si>
  <si>
    <t xml:space="preserve">주력</t>
  </si>
  <si>
    <t xml:space="preserve">스탠다드 트윈</t>
  </si>
  <si>
    <t xml:space="preserve">디럭스 더블</t>
  </si>
  <si>
    <t xml:space="preserve">스위트</t>
  </si>
  <si>
    <t xml:space="preserve">최상층</t>
  </si>
  <si>
    <t xml:space="preserve">합계</t>
  </si>
  <si>
    <t xml:space="preserve">객실 전용 합계</t>
  </si>
  <si>
    <r>
      <rPr>
        <sz val="9"/>
        <color rgb="FFA33A3D"/>
        <rFont val="Noto Sans CJK SC"/>
        <family val="2"/>
      </rPr>
      <t xml:space="preserve">※ 객실 수 </t>
    </r>
    <r>
      <rPr>
        <sz val="9"/>
        <color rgb="FFA33A3D"/>
        <rFont val="Arial"/>
        <family val="0"/>
        <charset val="1"/>
      </rPr>
      <t xml:space="preserve">94</t>
    </r>
    <r>
      <rPr>
        <sz val="9"/>
        <color rgb="FFA33A3D"/>
        <rFont val="Noto Sans CJK SC"/>
        <family val="2"/>
      </rPr>
      <t xml:space="preserve">실만 </t>
    </r>
    <r>
      <rPr>
        <sz val="9"/>
        <color rgb="FFA33A3D"/>
        <rFont val="Arial"/>
        <family val="0"/>
        <charset val="1"/>
      </rPr>
      <t xml:space="preserve">IM </t>
    </r>
    <r>
      <rPr>
        <sz val="9"/>
        <color rgb="FFA33A3D"/>
        <rFont val="Noto Sans CJK SC"/>
        <family val="2"/>
      </rPr>
      <t xml:space="preserve">기재값이고 타입 배분</t>
    </r>
    <r>
      <rPr>
        <sz val="9"/>
        <color rgb="FFA33A3D"/>
        <rFont val="Arial"/>
        <family val="0"/>
        <charset val="1"/>
      </rPr>
      <t xml:space="preserve">·</t>
    </r>
    <r>
      <rPr>
        <sz val="9"/>
        <color rgb="FFA33A3D"/>
        <rFont val="Noto Sans CJK SC"/>
        <family val="2"/>
      </rPr>
      <t xml:space="preserve">면적은 가상입니다</t>
    </r>
    <r>
      <rPr>
        <sz val="9"/>
        <color rgb="FFA33A3D"/>
        <rFont val="Arial"/>
        <family val="0"/>
        <charset val="1"/>
      </rPr>
      <t xml:space="preserve">.</t>
    </r>
  </si>
  <si>
    <t xml:space="preserve">운영 지표</t>
  </si>
  <si>
    <r>
      <rPr>
        <sz val="9.5"/>
        <color rgb="FF7A8794"/>
        <rFont val="Arial"/>
        <family val="0"/>
        <charset val="1"/>
      </rPr>
      <t xml:space="preserve">[</t>
    </r>
    <r>
      <rPr>
        <sz val="9.5"/>
        <color rgb="FF7A8794"/>
        <rFont val="Noto Sans CJK SC"/>
        <family val="2"/>
      </rPr>
      <t xml:space="preserve">가상 증강 </t>
    </r>
    <r>
      <rPr>
        <sz val="9.5"/>
        <color rgb="FF7A8794"/>
        <rFont val="Arial"/>
        <family val="0"/>
        <charset val="1"/>
      </rPr>
      <t xml:space="preserve">· </t>
    </r>
    <r>
      <rPr>
        <sz val="9.5"/>
        <color rgb="FF7A8794"/>
        <rFont val="Noto Sans CJK SC"/>
        <family val="2"/>
      </rPr>
      <t xml:space="preserve">서울 비즈니스호텔 벤치마크</t>
    </r>
    <r>
      <rPr>
        <sz val="9.5"/>
        <color rgb="FF7A8794"/>
        <rFont val="Arial"/>
        <family val="0"/>
        <charset val="1"/>
      </rPr>
      <t xml:space="preserve">]</t>
    </r>
  </si>
  <si>
    <t xml:space="preserve">지표</t>
  </si>
  <si>
    <t xml:space="preserve">값</t>
  </si>
  <si>
    <t xml:space="preserve">단위</t>
  </si>
  <si>
    <t xml:space="preserve">벤치마크</t>
  </si>
  <si>
    <r>
      <rPr>
        <b val="true"/>
        <sz val="10"/>
        <rFont val="Arial"/>
        <family val="0"/>
        <charset val="1"/>
      </rPr>
      <t xml:space="preserve">ADR (</t>
    </r>
    <r>
      <rPr>
        <b val="true"/>
        <sz val="10"/>
        <rFont val="Noto Sans CJK SC"/>
        <family val="2"/>
      </rPr>
      <t xml:space="preserve">평균 객실 단가</t>
    </r>
    <r>
      <rPr>
        <b val="true"/>
        <sz val="10"/>
        <rFont val="Arial"/>
        <family val="0"/>
        <charset val="1"/>
      </rPr>
      <t xml:space="preserve">)</t>
    </r>
  </si>
  <si>
    <t xml:space="preserve">원</t>
  </si>
  <si>
    <r>
      <rPr>
        <sz val="10"/>
        <rFont val="Arial"/>
        <family val="0"/>
        <charset val="1"/>
      </rPr>
      <t xml:space="preserve">8~12</t>
    </r>
    <r>
      <rPr>
        <sz val="10"/>
        <rFont val="Noto Sans CJK SC"/>
        <family val="2"/>
      </rPr>
      <t xml:space="preserve">만원</t>
    </r>
  </si>
  <si>
    <r>
      <rPr>
        <sz val="10"/>
        <rFont val="Noto Sans CJK SC"/>
        <family val="2"/>
      </rPr>
      <t xml:space="preserve">신촌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이대 권역</t>
    </r>
  </si>
  <si>
    <r>
      <rPr>
        <b val="true"/>
        <sz val="10"/>
        <rFont val="Arial"/>
        <family val="0"/>
        <charset val="1"/>
      </rPr>
      <t xml:space="preserve">OCC (</t>
    </r>
    <r>
      <rPr>
        <b val="true"/>
        <sz val="10"/>
        <rFont val="Noto Sans CJK SC"/>
        <family val="2"/>
      </rPr>
      <t xml:space="preserve">객실 점유율</t>
    </r>
    <r>
      <rPr>
        <b val="true"/>
        <sz val="10"/>
        <rFont val="Arial"/>
        <family val="0"/>
        <charset val="1"/>
      </rPr>
      <t xml:space="preserve">)</t>
    </r>
  </si>
  <si>
    <t xml:space="preserve">%</t>
  </si>
  <si>
    <t xml:space="preserve">72~82%</t>
  </si>
  <si>
    <t xml:space="preserve">대학가 계절성 반영</t>
  </si>
  <si>
    <t xml:space="preserve">RevPAR</t>
  </si>
  <si>
    <r>
      <rPr>
        <sz val="10"/>
        <rFont val="Arial"/>
        <family val="0"/>
        <charset val="1"/>
      </rPr>
      <t xml:space="preserve">6~9</t>
    </r>
    <r>
      <rPr>
        <sz val="10"/>
        <rFont val="Noto Sans CJK SC"/>
        <family val="2"/>
      </rPr>
      <t xml:space="preserve">만원</t>
    </r>
  </si>
  <si>
    <t xml:space="preserve">ADR × OCC</t>
  </si>
  <si>
    <t xml:space="preserve">연 운영일</t>
  </si>
  <si>
    <t xml:space="preserve">일</t>
  </si>
  <si>
    <t xml:space="preserve">—</t>
  </si>
  <si>
    <t xml:space="preserve">부대매출 비중</t>
  </si>
  <si>
    <t xml:space="preserve">8~15%</t>
  </si>
  <si>
    <r>
      <rPr>
        <sz val="10"/>
        <rFont val="Arial"/>
        <family val="0"/>
        <charset val="1"/>
      </rPr>
      <t xml:space="preserve">F&amp;B·</t>
    </r>
    <r>
      <rPr>
        <sz val="10"/>
        <rFont val="Noto Sans CJK SC"/>
        <family val="2"/>
      </rPr>
      <t xml:space="preserve">기타</t>
    </r>
  </si>
  <si>
    <r>
      <rPr>
        <b val="true"/>
        <sz val="10"/>
        <rFont val="Arial"/>
        <family val="0"/>
        <charset val="1"/>
      </rPr>
      <t xml:space="preserve">GOP </t>
    </r>
    <r>
      <rPr>
        <b val="true"/>
        <sz val="10"/>
        <rFont val="Noto Sans CJK SC"/>
        <family val="2"/>
      </rPr>
      <t xml:space="preserve">마진</t>
    </r>
  </si>
  <si>
    <t xml:space="preserve">32~42%</t>
  </si>
  <si>
    <t xml:space="preserve">위탁운영 기준</t>
  </si>
  <si>
    <t xml:space="preserve">운영 구조</t>
  </si>
  <si>
    <r>
      <rPr>
        <sz val="10"/>
        <color rgb="FF0000FF"/>
        <rFont val="Noto Sans CJK SC"/>
        <family val="2"/>
      </rPr>
      <t xml:space="preserve">위탁운영 </t>
    </r>
    <r>
      <rPr>
        <sz val="10"/>
        <color rgb="FF0000FF"/>
        <rFont val="Arial"/>
        <family val="0"/>
        <charset val="1"/>
      </rPr>
      <t xml:space="preserve">(Management Contract)</t>
    </r>
  </si>
  <si>
    <t xml:space="preserve">브랜드</t>
  </si>
  <si>
    <t xml:space="preserve">에이치 에비뉴 — 국내 체인</t>
  </si>
  <si>
    <t xml:space="preserve">운영사 계약 잔여</t>
  </si>
  <si>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년 </t>
    </r>
    <r>
      <rPr>
        <sz val="10"/>
        <color rgb="FF0000FF"/>
        <rFont val="Arial"/>
        <family val="0"/>
        <charset val="1"/>
      </rPr>
      <t xml:space="preserve">(2029</t>
    </r>
    <r>
      <rPr>
        <sz val="10"/>
        <color rgb="FF0000FF"/>
        <rFont val="Noto Sans CJK SC"/>
        <family val="2"/>
      </rPr>
      <t xml:space="preserve">년 만료</t>
    </r>
    <r>
      <rPr>
        <sz val="10"/>
        <color rgb="FF0000FF"/>
        <rFont val="Arial"/>
        <family val="0"/>
        <charset val="1"/>
      </rPr>
      <t xml:space="preserve">)</t>
    </r>
  </si>
  <si>
    <t xml:space="preserve">관광숙박업 등록</t>
  </si>
  <si>
    <r>
      <rPr>
        <sz val="10"/>
        <color rgb="FF0000FF"/>
        <rFont val="Noto Sans CJK SC"/>
        <family val="2"/>
      </rPr>
      <t xml:space="preserve">관광호텔업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급</t>
    </r>
  </si>
  <si>
    <t xml:space="preserve">계절성</t>
  </si>
  <si>
    <r>
      <rPr>
        <sz val="10"/>
        <color rgb="FF0000FF"/>
        <rFont val="Arial"/>
        <family val="0"/>
        <charset val="1"/>
      </rPr>
      <t xml:space="preserve">3~5</t>
    </r>
    <r>
      <rPr>
        <sz val="10"/>
        <color rgb="FF0000FF"/>
        <rFont val="Noto Sans CJK SC"/>
        <family val="2"/>
      </rPr>
      <t xml:space="preserve">월</t>
    </r>
    <r>
      <rPr>
        <sz val="10"/>
        <color rgb="FF0000FF"/>
        <rFont val="Arial"/>
        <family val="0"/>
        <charset val="1"/>
      </rPr>
      <t xml:space="preserve">·9~11</t>
    </r>
    <r>
      <rPr>
        <sz val="10"/>
        <color rgb="FF0000FF"/>
        <rFont val="Noto Sans CJK SC"/>
        <family val="2"/>
      </rPr>
      <t xml:space="preserve">월 성수 </t>
    </r>
    <r>
      <rPr>
        <sz val="10"/>
        <color rgb="FF0000FF"/>
        <rFont val="Arial"/>
        <family val="0"/>
        <charset val="1"/>
      </rPr>
      <t xml:space="preserve">/ 1~2</t>
    </r>
    <r>
      <rPr>
        <sz val="10"/>
        <color rgb="FF0000FF"/>
        <rFont val="Noto Sans CJK SC"/>
        <family val="2"/>
      </rPr>
      <t xml:space="preserve">월 비수 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대학가 특성</t>
    </r>
    <r>
      <rPr>
        <sz val="10"/>
        <color rgb="FF0000FF"/>
        <rFont val="Arial"/>
        <family val="0"/>
        <charset val="1"/>
      </rPr>
      <t xml:space="preserve">)</t>
    </r>
  </si>
  <si>
    <t xml:space="preserve">외국인 비중</t>
  </si>
  <si>
    <r>
      <rPr>
        <sz val="10"/>
        <color rgb="FF0000FF"/>
        <rFont val="Noto Sans CJK SC"/>
        <family val="2"/>
      </rPr>
      <t xml:space="preserve">약 </t>
    </r>
    <r>
      <rPr>
        <sz val="10"/>
        <color rgb="FF0000FF"/>
        <rFont val="Arial"/>
        <family val="0"/>
        <charset val="1"/>
      </rPr>
      <t xml:space="preserve">45% (</t>
    </r>
    <r>
      <rPr>
        <sz val="10"/>
        <color rgb="FF0000FF"/>
        <rFont val="Noto Sans CJK SC"/>
        <family val="2"/>
      </rPr>
      <t xml:space="preserve">중국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일본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동남아</t>
    </r>
    <r>
      <rPr>
        <sz val="10"/>
        <color rgb="FF0000FF"/>
        <rFont val="Arial"/>
        <family val="0"/>
        <charset val="1"/>
      </rPr>
      <t xml:space="preserve">)</t>
    </r>
  </si>
  <si>
    <t xml:space="preserve">수익 구조</t>
  </si>
  <si>
    <r>
      <rPr>
        <sz val="9.5"/>
        <color rgb="FF7A8794"/>
        <rFont val="Arial"/>
        <family val="0"/>
        <charset val="1"/>
      </rPr>
      <t xml:space="preserve">[</t>
    </r>
    <r>
      <rPr>
        <sz val="9.5"/>
        <color rgb="FF7A8794"/>
        <rFont val="Noto Sans CJK SC"/>
        <family val="2"/>
      </rPr>
      <t xml:space="preserve">가상 증강</t>
    </r>
    <r>
      <rPr>
        <sz val="9.5"/>
        <color rgb="FF7A8794"/>
        <rFont val="Arial"/>
        <family val="0"/>
        <charset val="1"/>
      </rPr>
      <t xml:space="preserve">]</t>
    </r>
  </si>
  <si>
    <t xml:space="preserve">산식</t>
  </si>
  <si>
    <r>
      <rPr>
        <b val="true"/>
        <sz val="9"/>
        <color rgb="FFFFFFFF"/>
        <rFont val="Noto Sans CJK SC"/>
        <family val="2"/>
      </rPr>
      <t xml:space="preserve">금액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원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</si>
  <si>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연 객실매출</t>
  </si>
  <si>
    <r>
      <rPr>
        <sz val="10"/>
        <rFont val="Noto Sans CJK SC"/>
        <family val="2"/>
      </rPr>
      <t xml:space="preserve">객실수 </t>
    </r>
    <r>
      <rPr>
        <sz val="10"/>
        <rFont val="Arial"/>
        <family val="0"/>
        <charset val="1"/>
      </rPr>
      <t xml:space="preserve">× RevPAR × 365</t>
    </r>
  </si>
  <si>
    <t xml:space="preserve">부대매출</t>
  </si>
  <si>
    <r>
      <rPr>
        <sz val="10"/>
        <rFont val="Noto Sans CJK SC"/>
        <family val="2"/>
      </rPr>
      <t xml:space="preserve">객실매출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부대비중</t>
    </r>
  </si>
  <si>
    <t xml:space="preserve">총매출</t>
  </si>
  <si>
    <r>
      <rPr>
        <sz val="10"/>
        <rFont val="Noto Sans CJK SC"/>
        <family val="2"/>
      </rPr>
      <t xml:space="preserve">객실매출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부대매출</t>
    </r>
  </si>
  <si>
    <t xml:space="preserve">GOP</t>
  </si>
  <si>
    <r>
      <rPr>
        <sz val="10"/>
        <rFont val="Noto Sans CJK SC"/>
        <family val="2"/>
      </rPr>
      <t xml:space="preserve">총매출 </t>
    </r>
    <r>
      <rPr>
        <sz val="10"/>
        <rFont val="Arial"/>
        <family val="0"/>
        <charset val="1"/>
      </rPr>
      <t xml:space="preserve">× GOP </t>
    </r>
    <r>
      <rPr>
        <sz val="10"/>
        <rFont val="Noto Sans CJK SC"/>
        <family val="2"/>
      </rPr>
      <t xml:space="preserve">마진</t>
    </r>
  </si>
  <si>
    <t xml:space="preserve">수익률</t>
  </si>
  <si>
    <t xml:space="preserve">기준</t>
  </si>
  <si>
    <r>
      <rPr>
        <sz val="10"/>
        <rFont val="Noto Sans CJK SC"/>
        <family val="2"/>
      </rPr>
      <t xml:space="preserve">매각가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객실 수</t>
    </r>
  </si>
  <si>
    <r>
      <rPr>
        <b val="true"/>
        <sz val="10"/>
        <rFont val="Arial"/>
        <family val="0"/>
        <charset val="1"/>
      </rPr>
      <t xml:space="preserve">Cap Rate (GOP/</t>
    </r>
    <r>
      <rPr>
        <b val="true"/>
        <sz val="10"/>
        <rFont val="Noto Sans CJK SC"/>
        <family val="2"/>
      </rPr>
      <t xml:space="preserve">매각가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</si>
  <si>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GOP ÷ </t>
    </r>
    <r>
      <rPr>
        <sz val="10"/>
        <rFont val="Noto Sans CJK SC"/>
        <family val="2"/>
      </rPr>
      <t xml:space="preserve">매각가</t>
    </r>
  </si>
  <si>
    <t xml:space="preserve">매출 배수</t>
  </si>
  <si>
    <r>
      <rPr>
        <sz val="10"/>
        <rFont val="Noto Sans CJK SC"/>
        <family val="2"/>
      </rPr>
      <t xml:space="preserve">매각가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총매출</t>
    </r>
  </si>
  <si>
    <r>
      <rPr>
        <b val="true"/>
        <sz val="10"/>
        <rFont val="Arial"/>
        <family val="0"/>
        <charset val="1"/>
      </rPr>
      <t xml:space="preserve">GOP </t>
    </r>
    <r>
      <rPr>
        <b val="true"/>
        <sz val="10"/>
        <rFont val="Noto Sans CJK SC"/>
        <family val="2"/>
      </rPr>
      <t xml:space="preserve">배수</t>
    </r>
  </si>
  <si>
    <r>
      <rPr>
        <sz val="10"/>
        <rFont val="Noto Sans CJK SC"/>
        <family val="2"/>
      </rPr>
      <t xml:space="preserve">매각가 </t>
    </r>
    <r>
      <rPr>
        <sz val="10"/>
        <rFont val="Arial"/>
        <family val="0"/>
        <charset val="1"/>
      </rPr>
      <t xml:space="preserve">÷ GOP</t>
    </r>
  </si>
  <si>
    <r>
      <rPr>
        <sz val="9"/>
        <color rgb="FF8E6A20"/>
        <rFont val="Noto Sans CJK SC"/>
        <family val="2"/>
      </rPr>
      <t xml:space="preserve">※ 호텔은 </t>
    </r>
    <r>
      <rPr>
        <sz val="9"/>
        <color rgb="FF8E6A20"/>
        <rFont val="Arial"/>
        <family val="0"/>
        <charset val="1"/>
      </rPr>
      <t xml:space="preserve">Cap Rate</t>
    </r>
    <r>
      <rPr>
        <sz val="9"/>
        <color rgb="FF8E6A20"/>
        <rFont val="Noto Sans CJK SC"/>
        <family val="2"/>
      </rPr>
      <t xml:space="preserve">를 </t>
    </r>
    <r>
      <rPr>
        <sz val="9"/>
        <color rgb="FF8E6A20"/>
        <rFont val="Arial"/>
        <family val="0"/>
        <charset val="1"/>
      </rPr>
      <t xml:space="preserve">GOP(</t>
    </r>
    <r>
      <rPr>
        <sz val="9"/>
        <color rgb="FF8E6A20"/>
        <rFont val="Noto Sans CJK SC"/>
        <family val="2"/>
      </rPr>
      <t xml:space="preserve">영업총이익</t>
    </r>
    <r>
      <rPr>
        <sz val="9"/>
        <color rgb="FF8E6A20"/>
        <rFont val="Arial"/>
        <family val="0"/>
        <charset val="1"/>
      </rPr>
      <t xml:space="preserve">) </t>
    </r>
    <r>
      <rPr>
        <sz val="9"/>
        <color rgb="FF8E6A20"/>
        <rFont val="Noto Sans CJK SC"/>
        <family val="2"/>
      </rPr>
      <t xml:space="preserve">기준으로 산출합니다</t>
    </r>
    <r>
      <rPr>
        <sz val="9"/>
        <color rgb="FF8E6A20"/>
        <rFont val="Arial"/>
        <family val="0"/>
        <charset val="1"/>
      </rPr>
      <t xml:space="preserve">. NOI </t>
    </r>
    <r>
      <rPr>
        <sz val="9"/>
        <color rgb="FF8E6A20"/>
        <rFont val="Noto Sans CJK SC"/>
        <family val="2"/>
      </rPr>
      <t xml:space="preserve">기준 수익형 부동산과 직접 비교할 수 없습니다</t>
    </r>
    <r>
      <rPr>
        <sz val="9"/>
        <color rgb="FF8E6A20"/>
        <rFont val="Arial"/>
        <family val="0"/>
        <charset val="1"/>
      </rPr>
      <t xml:space="preserve">.</t>
    </r>
  </si>
  <si>
    <r>
      <rPr>
        <sz val="9"/>
        <color rgb="FFA33A3D"/>
        <rFont val="Noto Sans CJK SC"/>
        <family val="2"/>
      </rPr>
      <t xml:space="preserve">※ 운영 리스크가 임대차와 근본적으로 다릅니다 — 매출이 계약이 아니라 영업 성과에 좌우됩니다</t>
    </r>
    <r>
      <rPr>
        <sz val="9"/>
        <color rgb="FFA33A3D"/>
        <rFont val="Arial"/>
        <family val="0"/>
        <charset val="1"/>
      </rPr>
      <t xml:space="preserve">.</t>
    </r>
  </si>
  <si>
    <t xml:space="preserve">물건 상세</t>
  </si>
  <si>
    <r>
      <rPr>
        <sz val="10"/>
        <color rgb="FF0000FF"/>
        <rFont val="Noto Sans CJK SC"/>
        <family val="2"/>
      </rPr>
      <t xml:space="preserve">서울 서대문구 대현동 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상세 비공개</t>
    </r>
    <r>
      <rPr>
        <sz val="10"/>
        <color rgb="FF0000FF"/>
        <rFont val="Arial"/>
        <family val="0"/>
        <charset val="1"/>
      </rPr>
      <t xml:space="preserve">)</t>
    </r>
  </si>
  <si>
    <t xml:space="preserve">공부</t>
  </si>
  <si>
    <r>
      <rPr>
        <sz val="10"/>
        <color rgb="FF0000FF"/>
        <rFont val="Arial"/>
        <family val="0"/>
        <charset val="1"/>
      </rPr>
      <t xml:space="preserve">486.2</t>
    </r>
    <r>
      <rPr>
        <sz val="10"/>
        <color rgb="FF0000FF"/>
        <rFont val="Noto Sans CJK SC"/>
        <family val="2"/>
      </rPr>
      <t xml:space="preserve">㎡ </t>
    </r>
    <r>
      <rPr>
        <sz val="10"/>
        <color rgb="FF0000FF"/>
        <rFont val="Arial"/>
        <family val="0"/>
        <charset val="1"/>
      </rPr>
      <t xml:space="preserve">(147.1</t>
    </r>
    <r>
      <rPr>
        <sz val="10"/>
        <color rgb="FF0000FF"/>
        <rFont val="Noto Sans CJK SC"/>
        <family val="2"/>
      </rPr>
      <t xml:space="preserve">평</t>
    </r>
    <r>
      <rPr>
        <sz val="10"/>
        <color rgb="FF0000FF"/>
        <rFont val="Arial"/>
        <family val="0"/>
        <charset val="1"/>
      </rPr>
      <t xml:space="preserve">)</t>
    </r>
  </si>
  <si>
    <t xml:space="preserve">일반상업지역</t>
  </si>
  <si>
    <r>
      <rPr>
        <sz val="10"/>
        <color rgb="FF0000FF"/>
        <rFont val="Arial"/>
        <family val="0"/>
        <charset val="1"/>
      </rPr>
      <t xml:space="preserve">3,842.6</t>
    </r>
    <r>
      <rPr>
        <sz val="10"/>
        <color rgb="FF0000FF"/>
        <rFont val="Noto Sans CJK SC"/>
        <family val="2"/>
      </rPr>
      <t xml:space="preserve">㎡ </t>
    </r>
    <r>
      <rPr>
        <sz val="10"/>
        <color rgb="FF0000FF"/>
        <rFont val="Arial"/>
        <family val="0"/>
        <charset val="1"/>
      </rPr>
      <t xml:space="preserve">(1,162.4</t>
    </r>
    <r>
      <rPr>
        <sz val="10"/>
        <color rgb="FF0000FF"/>
        <rFont val="Noto Sans CJK SC"/>
        <family val="2"/>
      </rPr>
      <t xml:space="preserve">평</t>
    </r>
    <r>
      <rPr>
        <sz val="10"/>
        <color rgb="FF0000FF"/>
        <rFont val="Arial"/>
        <family val="0"/>
        <charset val="1"/>
      </rPr>
      <t xml:space="preserve">)</t>
    </r>
  </si>
  <si>
    <t xml:space="preserve">지상 연면적</t>
  </si>
  <si>
    <r>
      <rPr>
        <sz val="10"/>
        <color rgb="FF0000FF"/>
        <rFont val="Arial"/>
        <family val="0"/>
        <charset val="1"/>
      </rPr>
      <t xml:space="preserve">3,180.4</t>
    </r>
    <r>
      <rPr>
        <sz val="10"/>
        <color rgb="FF0000FF"/>
        <rFont val="Noto Sans CJK SC"/>
        <family val="2"/>
      </rPr>
      <t xml:space="preserve">㎡ </t>
    </r>
    <r>
      <rPr>
        <sz val="10"/>
        <color rgb="FF0000FF"/>
        <rFont val="Arial"/>
        <family val="0"/>
        <charset val="1"/>
      </rPr>
      <t xml:space="preserve">(962.1</t>
    </r>
    <r>
      <rPr>
        <sz val="10"/>
        <color rgb="FF0000FF"/>
        <rFont val="Noto Sans CJK SC"/>
        <family val="2"/>
      </rPr>
      <t xml:space="preserve">평</t>
    </r>
    <r>
      <rPr>
        <sz val="10"/>
        <color rgb="FF0000FF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</si>
  <si>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건폐율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용적률</t>
    </r>
  </si>
  <si>
    <t xml:space="preserve">58.7% / 654.1%</t>
  </si>
  <si>
    <t xml:space="preserve">규모</t>
  </si>
  <si>
    <r>
      <rPr>
        <sz val="10"/>
        <color rgb="FF0000FF"/>
        <rFont val="Noto Sans CJK SC"/>
        <family val="2"/>
      </rPr>
      <t xml:space="preserve">지하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층 </t>
    </r>
    <r>
      <rPr>
        <sz val="10"/>
        <color rgb="FF0000FF"/>
        <rFont val="Arial"/>
        <family val="0"/>
        <charset val="1"/>
      </rPr>
      <t xml:space="preserve">~ </t>
    </r>
    <r>
      <rPr>
        <sz val="10"/>
        <color rgb="FF0000FF"/>
        <rFont val="Noto Sans CJK SC"/>
        <family val="2"/>
      </rPr>
      <t xml:space="preserve">지상 </t>
    </r>
    <r>
      <rPr>
        <sz val="10"/>
        <color rgb="FF0000FF"/>
        <rFont val="Arial"/>
        <family val="0"/>
        <charset val="1"/>
      </rPr>
      <t xml:space="preserve">12</t>
    </r>
    <r>
      <rPr>
        <sz val="10"/>
        <color rgb="FF0000FF"/>
        <rFont val="Noto Sans CJK SC"/>
        <family val="2"/>
      </rPr>
      <t xml:space="preserve">층</t>
    </r>
  </si>
  <si>
    <r>
      <rPr>
        <sz val="10"/>
        <color rgb="FF0000FF"/>
        <rFont val="Arial"/>
        <family val="0"/>
        <charset val="1"/>
      </rPr>
      <t xml:space="preserve">2016</t>
    </r>
    <r>
      <rPr>
        <sz val="10"/>
        <color rgb="FF0000FF"/>
        <rFont val="Noto Sans CJK SC"/>
        <family val="2"/>
      </rPr>
      <t xml:space="preserve">년 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월</t>
    </r>
  </si>
  <si>
    <t xml:space="preserve">주차</t>
  </si>
  <si>
    <r>
      <rPr>
        <sz val="10"/>
        <color rgb="FF0000FF"/>
        <rFont val="Noto Sans CJK SC"/>
        <family val="2"/>
      </rPr>
      <t xml:space="preserve">기계식 </t>
    </r>
    <r>
      <rPr>
        <sz val="10"/>
        <color rgb="FF0000FF"/>
        <rFont val="Arial"/>
        <family val="0"/>
        <charset val="1"/>
      </rPr>
      <t xml:space="preserve">18</t>
    </r>
    <r>
      <rPr>
        <sz val="10"/>
        <color rgb="FF0000FF"/>
        <rFont val="Noto Sans CJK SC"/>
        <family val="2"/>
      </rPr>
      <t xml:space="preserve">대</t>
    </r>
  </si>
  <si>
    <t xml:space="preserve">승강기</t>
  </si>
  <si>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대 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객실 </t>
    </r>
    <r>
      <rPr>
        <sz val="10"/>
        <color rgb="FF0000FF"/>
        <rFont val="Arial"/>
        <family val="0"/>
        <charset val="1"/>
      </rPr>
      <t xml:space="preserve">1 · </t>
    </r>
    <r>
      <rPr>
        <sz val="10"/>
        <color rgb="FF0000FF"/>
        <rFont val="Noto Sans CJK SC"/>
        <family val="2"/>
      </rPr>
      <t xml:space="preserve">화물 </t>
    </r>
    <r>
      <rPr>
        <sz val="10"/>
        <color rgb="FF0000FF"/>
        <rFont val="Arial"/>
        <family val="0"/>
        <charset val="1"/>
      </rPr>
      <t xml:space="preserve">1)</t>
    </r>
  </si>
  <si>
    <t xml:space="preserve">부대시설</t>
  </si>
  <si>
    <r>
      <rPr>
        <sz val="10"/>
        <color rgb="FF0000FF"/>
        <rFont val="Arial"/>
        <family val="0"/>
        <charset val="1"/>
      </rPr>
      <t xml:space="preserve">1F </t>
    </r>
    <r>
      <rPr>
        <sz val="10"/>
        <color rgb="FF0000FF"/>
        <rFont val="Noto Sans CJK SC"/>
        <family val="2"/>
      </rPr>
      <t xml:space="preserve">로비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카페 </t>
    </r>
    <r>
      <rPr>
        <sz val="10"/>
        <color rgb="FF0000FF"/>
        <rFont val="Arial"/>
        <family val="0"/>
        <charset val="1"/>
      </rPr>
      <t xml:space="preserve">· B1 </t>
    </r>
    <r>
      <rPr>
        <sz val="10"/>
        <color rgb="FF0000FF"/>
        <rFont val="Noto Sans CJK SC"/>
        <family val="2"/>
      </rPr>
      <t xml:space="preserve">조식당 </t>
    </r>
    <r>
      <rPr>
        <sz val="10"/>
        <color rgb="FF0000FF"/>
        <rFont val="Arial"/>
        <family val="0"/>
        <charset val="1"/>
      </rPr>
      <t xml:space="preserve">· </t>
    </r>
    <r>
      <rPr>
        <sz val="10"/>
        <color rgb="FF0000FF"/>
        <rFont val="Noto Sans CJK SC"/>
        <family val="2"/>
      </rPr>
      <t xml:space="preserve">옥상 라운지</t>
    </r>
  </si>
  <si>
    <t xml:space="preserve">중개인</t>
  </si>
  <si>
    <t xml:space="preserve">객실당 대지면적</t>
  </si>
  <si>
    <r>
      <rPr>
        <sz val="10"/>
        <rFont val="Noto Sans CJK SC"/>
        <family val="2"/>
      </rPr>
      <t xml:space="preserve">㎡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실</t>
    </r>
  </si>
  <si>
    <t xml:space="preserve">객실당 연면적</t>
  </si>
  <si>
    <r>
      <rPr>
        <sz val="10"/>
        <rFont val="Noto Sans CJK SC"/>
        <family val="2"/>
      </rPr>
      <t xml:space="preserve">㎡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실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벤치마크 </t>
    </r>
    <r>
      <rPr>
        <sz val="10"/>
        <rFont val="Arial"/>
        <family val="0"/>
        <charset val="1"/>
      </rPr>
      <t xml:space="preserve">35~45)</t>
    </r>
  </si>
  <si>
    <t xml:space="preserve">취득 부대비용 및 리스크</t>
  </si>
  <si>
    <t xml:space="preserve">산정 근거</t>
  </si>
  <si>
    <r>
      <rPr>
        <sz val="10"/>
        <rFont val="Arial"/>
        <family val="0"/>
        <charset val="1"/>
      </rPr>
      <t xml:space="preserve">IM </t>
    </r>
    <r>
      <rPr>
        <sz val="10"/>
        <rFont val="Noto Sans CJK SC"/>
        <family val="2"/>
      </rPr>
      <t xml:space="preserve">기재</t>
    </r>
  </si>
  <si>
    <r>
      <rPr>
        <sz val="10"/>
        <rFont val="Noto Sans CJK SC"/>
        <family val="2"/>
      </rPr>
      <t xml:space="preserve">취득세 </t>
    </r>
    <r>
      <rPr>
        <sz val="10"/>
        <rFont val="Arial"/>
        <family val="0"/>
        <charset val="1"/>
      </rPr>
      <t xml:space="preserve">(4.6%)</t>
    </r>
  </si>
  <si>
    <t xml:space="preserve">표준세율</t>
  </si>
  <si>
    <r>
      <rPr>
        <sz val="10"/>
        <rFont val="Noto Sans CJK SC"/>
        <family val="2"/>
      </rPr>
      <t xml:space="preserve">중개보수 </t>
    </r>
    <r>
      <rPr>
        <sz val="10"/>
        <rFont val="Arial"/>
        <family val="0"/>
        <charset val="1"/>
      </rPr>
      <t xml:space="preserve">(0.9% </t>
    </r>
    <r>
      <rPr>
        <sz val="10"/>
        <rFont val="Noto Sans CJK SC"/>
        <family val="2"/>
      </rPr>
      <t xml:space="preserve">이내</t>
    </r>
    <r>
      <rPr>
        <sz val="10"/>
        <rFont val="Arial"/>
        <family val="0"/>
        <charset val="1"/>
      </rPr>
      <t xml:space="preserve">)</t>
    </r>
  </si>
  <si>
    <t xml:space="preserve">법정 상한 내</t>
  </si>
  <si>
    <r>
      <rPr>
        <sz val="10"/>
        <rFont val="Noto Sans CJK SC"/>
        <family val="2"/>
      </rPr>
      <t xml:space="preserve">등록면허세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법무비</t>
    </r>
  </si>
  <si>
    <t xml:space="preserve">추정</t>
  </si>
  <si>
    <r>
      <rPr>
        <sz val="10"/>
        <rFont val="Noto Sans CJK SC"/>
        <family val="2"/>
      </rPr>
      <t xml:space="preserve">감정평가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실사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운영실사</t>
    </r>
  </si>
  <si>
    <t xml:space="preserve">호텔은 운영 실사 별도</t>
  </si>
  <si>
    <t xml:space="preserve">총취득원가</t>
  </si>
  <si>
    <t xml:space="preserve">호텔 특유 리스크</t>
  </si>
  <si>
    <t xml:space="preserve">리스크</t>
  </si>
  <si>
    <t xml:space="preserve">가능성</t>
  </si>
  <si>
    <t xml:space="preserve">영향</t>
  </si>
  <si>
    <t xml:space="preserve">운영 성과 변동</t>
  </si>
  <si>
    <t xml:space="preserve">상</t>
  </si>
  <si>
    <t xml:space="preserve">임대차와 달리 매출이 계약으로 보장되지 않음</t>
  </si>
  <si>
    <t xml:space="preserve">운영사 계약 만료</t>
  </si>
  <si>
    <t xml:space="preserve">중</t>
  </si>
  <si>
    <r>
      <rPr>
        <sz val="10"/>
        <color rgb="FF0000FF"/>
        <rFont val="Arial"/>
        <family val="0"/>
        <charset val="1"/>
      </rPr>
      <t xml:space="preserve">2029</t>
    </r>
    <r>
      <rPr>
        <sz val="10"/>
        <color rgb="FF0000FF"/>
        <rFont val="Noto Sans CJK SC"/>
        <family val="2"/>
      </rPr>
      <t xml:space="preserve">년 만료 — 재계약 조건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운영사 교체 리스크</t>
    </r>
  </si>
  <si>
    <t xml:space="preserve">외국인 관광 의존</t>
  </si>
  <si>
    <r>
      <rPr>
        <sz val="10"/>
        <color rgb="FF0000FF"/>
        <rFont val="Noto Sans CJK SC"/>
        <family val="2"/>
      </rPr>
      <t xml:space="preserve">외국인 </t>
    </r>
    <r>
      <rPr>
        <sz val="10"/>
        <color rgb="FF0000FF"/>
        <rFont val="Arial"/>
        <family val="0"/>
        <charset val="1"/>
      </rPr>
      <t xml:space="preserve">45% — </t>
    </r>
    <r>
      <rPr>
        <sz val="10"/>
        <color rgb="FF0000FF"/>
        <rFont val="Noto Sans CJK SC"/>
        <family val="2"/>
      </rPr>
      <t xml:space="preserve">환율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비자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항공 노선 변동에 노출</t>
    </r>
  </si>
  <si>
    <r>
      <rPr>
        <sz val="10"/>
        <color rgb="FF0000FF"/>
        <rFont val="Noto Sans CJK SC"/>
        <family val="2"/>
      </rPr>
      <t xml:space="preserve">대학가 특성상 </t>
    </r>
    <r>
      <rPr>
        <sz val="10"/>
        <color rgb="FF0000FF"/>
        <rFont val="Arial"/>
        <family val="0"/>
        <charset val="1"/>
      </rPr>
      <t xml:space="preserve">1~2</t>
    </r>
    <r>
      <rPr>
        <sz val="10"/>
        <color rgb="FF0000FF"/>
        <rFont val="Noto Sans CJK SC"/>
        <family val="2"/>
      </rPr>
      <t xml:space="preserve">월 비수기 </t>
    </r>
    <r>
      <rPr>
        <sz val="10"/>
        <color rgb="FF0000FF"/>
        <rFont val="Arial"/>
        <family val="0"/>
        <charset val="1"/>
      </rPr>
      <t xml:space="preserve">OCC </t>
    </r>
    <r>
      <rPr>
        <sz val="10"/>
        <color rgb="FF0000FF"/>
        <rFont val="Noto Sans CJK SC"/>
        <family val="2"/>
      </rPr>
      <t xml:space="preserve">급락</t>
    </r>
  </si>
  <si>
    <t xml:space="preserve">용도변경 제약</t>
  </si>
  <si>
    <t xml:space="preserve">하</t>
  </si>
  <si>
    <r>
      <rPr>
        <sz val="10"/>
        <color rgb="FF0000FF"/>
        <rFont val="Noto Sans CJK SC"/>
        <family val="2"/>
      </rPr>
      <t xml:space="preserve">관광숙박업 → 오피스텔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주거 전환 시 별도 인허가</t>
    </r>
  </si>
  <si>
    <t xml:space="preserve">시설 노후</t>
  </si>
  <si>
    <r>
      <rPr>
        <sz val="10"/>
        <color rgb="FF0000FF"/>
        <rFont val="Arial"/>
        <family val="0"/>
        <charset val="1"/>
      </rPr>
      <t xml:space="preserve">2016</t>
    </r>
    <r>
      <rPr>
        <sz val="10"/>
        <color rgb="FF0000FF"/>
        <rFont val="Noto Sans CJK SC"/>
        <family val="2"/>
      </rPr>
      <t xml:space="preserve">년 준공 — 객실 리뉴얼 주기</t>
    </r>
    <r>
      <rPr>
        <sz val="10"/>
        <color rgb="FF0000FF"/>
        <rFont val="Arial"/>
        <family val="0"/>
        <charset val="1"/>
      </rPr>
      <t xml:space="preserve">(7~10</t>
    </r>
    <r>
      <rPr>
        <sz val="10"/>
        <color rgb="FF0000FF"/>
        <rFont val="Noto Sans CJK SC"/>
        <family val="2"/>
      </rPr>
      <t xml:space="preserve">년</t>
    </r>
    <r>
      <rPr>
        <sz val="10"/>
        <color rgb="FF0000FF"/>
        <rFont val="Arial"/>
        <family val="0"/>
        <charset val="1"/>
      </rPr>
      <t xml:space="preserve">) </t>
    </r>
    <r>
      <rPr>
        <sz val="10"/>
        <color rgb="FF0000FF"/>
        <rFont val="Noto Sans CJK SC"/>
        <family val="2"/>
      </rPr>
      <t xml:space="preserve">도래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</si>
</sst>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#,##0.0"/>
    <numFmt numFmtId="167" formatCode="0.0%"/>
    <numFmt numFmtId="168" formatCode="0.00%"/>
    <numFmt numFmtId="169" formatCode="0.0\x"/>
    <numFmt numFmtId="170" formatCode="#,##0.0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Noto Sans CJK SC"/>
      <family val="2"/>
    </font>
    <font>
      <sz val="9.5"/>
      <color rgb="FF7A8794"/>
      <name val="Arial"/>
      <family val="0"/>
      <charset val="1"/>
    </font>
    <font>
      <sz val="9.5"/>
      <color rgb="FF7A8794"/>
      <name val="Noto Sans CJK SC"/>
      <family val="2"/>
    </font>
    <font>
      <b val="true"/>
      <sz val="11"/>
      <name val="Noto Sans CJK SC"/>
      <family val="2"/>
    </font>
    <font>
      <sz val="10"/>
      <color rgb="FF0000FF"/>
      <name val="Noto Sans CJK SC"/>
      <family val="2"/>
    </font>
    <font>
      <sz val="10"/>
      <color rgb="FF0000FF"/>
      <name val="Arial"/>
      <family val="0"/>
      <charset val="1"/>
    </font>
    <font>
      <sz val="10"/>
      <name val="Noto Sans CJK SC"/>
      <family val="2"/>
    </font>
    <font>
      <sz val="10"/>
      <name val="Arial"/>
      <family val="0"/>
      <charset val="1"/>
    </font>
    <font>
      <sz val="10"/>
      <color rgb="FF6D4AA8"/>
      <name val="Noto Sans CJK SC"/>
      <family val="2"/>
    </font>
    <font>
      <sz val="10"/>
      <color rgb="FF6D4AA8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b val="true"/>
      <sz val="10"/>
      <color rgb="FF111827"/>
      <name val="Noto Sans CJK SC"/>
      <family val="2"/>
    </font>
    <font>
      <b val="true"/>
      <sz val="10"/>
      <color rgb="FF6D4AA8"/>
      <name val="Arial"/>
      <family val="0"/>
      <charset val="1"/>
    </font>
    <font>
      <b val="true"/>
      <sz val="10"/>
      <color rgb="FF6D4AA8"/>
      <name val="Noto Sans CJK SC"/>
      <family val="2"/>
    </font>
    <font>
      <sz val="9"/>
      <color rgb="FFA33A3D"/>
      <name val="Noto Sans CJK SC"/>
      <family val="2"/>
    </font>
    <font>
      <sz val="9"/>
      <color rgb="FFA33A3D"/>
      <name val="Arial"/>
      <family val="0"/>
      <charset val="1"/>
    </font>
    <font>
      <sz val="9"/>
      <color rgb="FF7A8794"/>
      <name val="Arial"/>
      <family val="0"/>
      <charset val="1"/>
    </font>
    <font>
      <sz val="9"/>
      <color rgb="FF7A8794"/>
      <name val="Noto Sans CJK SC"/>
      <family val="2"/>
    </font>
    <font>
      <b val="true"/>
      <sz val="9"/>
      <color rgb="FFFFFFFF"/>
      <name val="Noto Sans CJK SC"/>
      <family val="2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8E6A20"/>
      <name val="Noto Sans CJK SC"/>
      <family val="2"/>
    </font>
    <font>
      <sz val="9"/>
      <color rgb="FF8E6A2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  <fill>
      <patternFill patternType="solid">
        <fgColor rgb="FFF6E9E9"/>
        <bgColor rgb="FFF7EFDC"/>
      </patternFill>
    </fill>
    <fill>
      <patternFill patternType="solid">
        <fgColor rgb="FFFBF6EC"/>
        <bgColor rgb="FFF5F7F9"/>
      </patternFill>
    </fill>
    <fill>
      <patternFill patternType="solid">
        <fgColor rgb="FF6D4AA8"/>
        <bgColor rgb="FF333399"/>
      </patternFill>
    </fill>
    <fill>
      <patternFill patternType="solid">
        <fgColor rgb="FFF5F7F9"/>
        <bgColor rgb="FFFBF6EC"/>
      </patternFill>
    </fill>
    <fill>
      <patternFill patternType="solid">
        <fgColor rgb="FFF7EFDC"/>
        <bgColor rgb="FFF6E9E9"/>
      </patternFill>
    </fill>
    <fill>
      <patternFill patternType="solid">
        <fgColor rgb="FFE7F0EA"/>
        <bgColor rgb="FFF6E9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FE5"/>
      </left>
      <right style="thin">
        <color rgb="FFD9DFE5"/>
      </right>
      <top style="thin">
        <color rgb="FFD9DFE5"/>
      </top>
      <bottom style="thin">
        <color rgb="FFD9DF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E6A20"/>
      <rgbColor rgb="FF800080"/>
      <rgbColor rgb="FF008080"/>
      <rgbColor rgb="FFC0C0C0"/>
      <rgbColor rgb="FF7A8794"/>
      <rgbColor rgb="FF9999FF"/>
      <rgbColor rgb="FFA33A3D"/>
      <rgbColor rgb="FFFBF6EC"/>
      <rgbColor rgb="FFE7F0EA"/>
      <rgbColor rgb="FF660066"/>
      <rgbColor rgb="FFFF8080"/>
      <rgbColor rgb="FF0066CC"/>
      <rgbColor rgb="FFD9DF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7F9"/>
      <rgbColor rgb="FFF6E9E9"/>
      <rgbColor rgb="FFF7EFD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D4AA8"/>
      <rgbColor rgb="FF969696"/>
      <rgbColor rgb="FF1F3A5F"/>
      <rgbColor rgb="FF339966"/>
      <rgbColor rgb="FF111827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</row>
    <row r="7" customFormat="false" ht="15" hidden="false" customHeight="false" outlineLevel="0" collapsed="false">
      <c r="A7" s="6" t="s">
        <v>5</v>
      </c>
    </row>
    <row r="8" customFormat="false" ht="15" hidden="false" customHeight="false" outlineLevel="0" collapsed="false">
      <c r="A8" s="7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8" t="s">
        <v>8</v>
      </c>
      <c r="B11" s="9" t="s">
        <v>9</v>
      </c>
    </row>
    <row r="12" customFormat="false" ht="15" hidden="false" customHeight="false" outlineLevel="0" collapsed="false">
      <c r="A12" s="10" t="s">
        <v>10</v>
      </c>
      <c r="B12" s="5" t="s">
        <v>11</v>
      </c>
    </row>
    <row r="13" customFormat="false" ht="15" hidden="false" customHeight="false" outlineLevel="0" collapsed="false">
      <c r="A13" s="10" t="s">
        <v>12</v>
      </c>
      <c r="B13" s="9" t="s">
        <v>13</v>
      </c>
    </row>
    <row r="14" customFormat="false" ht="15" hidden="false" customHeight="false" outlineLevel="0" collapsed="false">
      <c r="A14" s="10" t="s">
        <v>14</v>
      </c>
      <c r="B14" s="5" t="s">
        <v>15</v>
      </c>
    </row>
    <row r="15" customFormat="false" ht="15" hidden="false" customHeight="false" outlineLevel="0" collapsed="false">
      <c r="A15" s="10" t="s">
        <v>16</v>
      </c>
      <c r="B15" s="5" t="s">
        <v>17</v>
      </c>
    </row>
    <row r="16" customFormat="false" ht="15" hidden="false" customHeight="false" outlineLevel="0" collapsed="false">
      <c r="A16" s="10" t="s">
        <v>18</v>
      </c>
      <c r="B16" s="5" t="s">
        <v>19</v>
      </c>
    </row>
    <row r="18" customFormat="false" ht="15" hidden="false" customHeight="false" outlineLevel="0" collapsed="false">
      <c r="A18" s="11" t="s">
        <v>20</v>
      </c>
    </row>
    <row r="19" customFormat="false" ht="15" hidden="false" customHeight="false" outlineLevel="0" collapsed="false">
      <c r="A19" s="11" t="s">
        <v>21</v>
      </c>
    </row>
    <row r="20" customFormat="false" ht="15" hidden="false" customHeight="false" outlineLevel="0" collapsed="false">
      <c r="A20" s="1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4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1" t="s">
        <v>23</v>
      </c>
    </row>
    <row r="2" customFormat="false" ht="15" hidden="false" customHeight="false" outlineLevel="0" collapsed="false">
      <c r="A2" s="13" t="s">
        <v>24</v>
      </c>
    </row>
    <row r="4" customFormat="false" ht="30" hidden="false" customHeight="true" outlineLevel="0" collapsed="false">
      <c r="A4" s="14" t="s">
        <v>25</v>
      </c>
      <c r="B4" s="14" t="s">
        <v>26</v>
      </c>
      <c r="C4" s="14" t="s">
        <v>27</v>
      </c>
    </row>
    <row r="5" customFormat="false" ht="15" hidden="false" customHeight="false" outlineLevel="0" collapsed="false">
      <c r="A5" s="15" t="s">
        <v>28</v>
      </c>
      <c r="B5" s="16" t="s">
        <v>29</v>
      </c>
      <c r="C5" s="17" t="s">
        <v>30</v>
      </c>
    </row>
    <row r="6" customFormat="false" ht="15" hidden="false" customHeight="false" outlineLevel="0" collapsed="false">
      <c r="A6" s="15" t="s">
        <v>31</v>
      </c>
      <c r="B6" s="16" t="s">
        <v>32</v>
      </c>
      <c r="C6" s="17" t="s">
        <v>30</v>
      </c>
    </row>
    <row r="7" customFormat="false" ht="15" hidden="false" customHeight="false" outlineLevel="0" collapsed="false">
      <c r="A7" s="15" t="s">
        <v>33</v>
      </c>
      <c r="B7" s="18" t="s">
        <v>34</v>
      </c>
      <c r="C7" s="17" t="s">
        <v>30</v>
      </c>
    </row>
    <row r="8" customFormat="false" ht="15" hidden="false" customHeight="false" outlineLevel="0" collapsed="false">
      <c r="A8" s="15" t="s">
        <v>35</v>
      </c>
      <c r="B8" s="18" t="s">
        <v>36</v>
      </c>
      <c r="C8" s="17" t="s">
        <v>30</v>
      </c>
    </row>
    <row r="9" customFormat="false" ht="15" hidden="false" customHeight="false" outlineLevel="0" collapsed="false">
      <c r="A9" s="15" t="s">
        <v>37</v>
      </c>
      <c r="B9" s="19"/>
      <c r="C9" s="20" t="s">
        <v>38</v>
      </c>
    </row>
    <row r="10" customFormat="false" ht="15" hidden="false" customHeight="false" outlineLevel="0" collapsed="false">
      <c r="A10" s="15" t="s">
        <v>39</v>
      </c>
      <c r="B10" s="19"/>
      <c r="C10" s="20" t="s">
        <v>38</v>
      </c>
    </row>
    <row r="11" customFormat="false" ht="15" hidden="false" customHeight="false" outlineLevel="0" collapsed="false">
      <c r="A11" s="15" t="s">
        <v>40</v>
      </c>
      <c r="B11" s="19"/>
      <c r="C11" s="20" t="s">
        <v>38</v>
      </c>
    </row>
    <row r="12" customFormat="false" ht="15" hidden="false" customHeight="false" outlineLevel="0" collapsed="false">
      <c r="A12" s="15" t="s">
        <v>41</v>
      </c>
      <c r="B12" s="19"/>
      <c r="C12" s="20" t="s">
        <v>38</v>
      </c>
    </row>
    <row r="13" customFormat="false" ht="15" hidden="false" customHeight="false" outlineLevel="0" collapsed="false">
      <c r="A13" s="15" t="s">
        <v>42</v>
      </c>
      <c r="B13" s="19"/>
      <c r="C13" s="20" t="s">
        <v>38</v>
      </c>
    </row>
    <row r="14" customFormat="false" ht="15" hidden="false" customHeight="false" outlineLevel="0" collapsed="false">
      <c r="A14" s="15" t="s">
        <v>43</v>
      </c>
      <c r="B14" s="19"/>
      <c r="C14" s="20" t="s">
        <v>38</v>
      </c>
    </row>
    <row r="15" customFormat="false" ht="15" hidden="false" customHeight="false" outlineLevel="0" collapsed="false">
      <c r="A15" s="21" t="s">
        <v>44</v>
      </c>
      <c r="B15" s="19"/>
      <c r="C15" s="20" t="s">
        <v>38</v>
      </c>
    </row>
    <row r="16" customFormat="false" ht="15" hidden="false" customHeight="false" outlineLevel="0" collapsed="false">
      <c r="A16" s="15" t="s">
        <v>45</v>
      </c>
      <c r="B16" s="19"/>
      <c r="C16" s="20" t="s">
        <v>38</v>
      </c>
    </row>
    <row r="18" customFormat="false" ht="15" hidden="false" customHeight="false" outlineLevel="0" collapsed="false">
      <c r="A18" s="15" t="s">
        <v>46</v>
      </c>
      <c r="B18" s="22" t="n">
        <f aca="false">30000000000/94</f>
        <v>319148936.170213</v>
      </c>
    </row>
    <row r="20" customFormat="false" ht="15" hidden="false" customHeight="false" outlineLevel="0" collapsed="false">
      <c r="A20" s="11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26"/>
  </cols>
  <sheetData>
    <row r="1" customFormat="false" ht="17.35" hidden="false" customHeight="false" outlineLevel="0" collapsed="false">
      <c r="A1" s="1" t="s">
        <v>48</v>
      </c>
    </row>
    <row r="2" customFormat="false" ht="15" hidden="false" customHeight="false" outlineLevel="0" collapsed="false">
      <c r="A2" s="2" t="s">
        <v>49</v>
      </c>
    </row>
    <row r="4" customFormat="false" ht="30" hidden="false" customHeight="true" outlineLevel="0" collapsed="false">
      <c r="A4" s="23" t="s">
        <v>50</v>
      </c>
      <c r="B4" s="23" t="s">
        <v>33</v>
      </c>
      <c r="C4" s="23" t="s">
        <v>51</v>
      </c>
      <c r="D4" s="23" t="s">
        <v>52</v>
      </c>
      <c r="E4" s="23" t="s">
        <v>53</v>
      </c>
      <c r="F4" s="23" t="s">
        <v>54</v>
      </c>
    </row>
    <row r="5" customFormat="false" ht="15" hidden="false" customHeight="false" outlineLevel="0" collapsed="false">
      <c r="A5" s="16" t="s">
        <v>55</v>
      </c>
      <c r="B5" s="24" t="n">
        <v>46</v>
      </c>
      <c r="C5" s="25" t="n">
        <v>16.5</v>
      </c>
      <c r="D5" s="26" t="n">
        <f aca="false">C5/3.3058</f>
        <v>4.99122753947607</v>
      </c>
      <c r="E5" s="27" t="n">
        <f aca="false">B5/$B$9</f>
        <v>0.48936170212766</v>
      </c>
      <c r="F5" s="16" t="s">
        <v>56</v>
      </c>
    </row>
    <row r="6" customFormat="false" ht="15" hidden="false" customHeight="false" outlineLevel="0" collapsed="false">
      <c r="A6" s="16" t="s">
        <v>57</v>
      </c>
      <c r="B6" s="24" t="n">
        <v>28</v>
      </c>
      <c r="C6" s="25" t="n">
        <v>18</v>
      </c>
      <c r="D6" s="26" t="n">
        <f aca="false">C6/3.3058</f>
        <v>5.44497549761026</v>
      </c>
      <c r="E6" s="27" t="n">
        <f aca="false">B6/$B$9</f>
        <v>0.297872340425532</v>
      </c>
      <c r="F6" s="16"/>
    </row>
    <row r="7" customFormat="false" ht="15" hidden="false" customHeight="false" outlineLevel="0" collapsed="false">
      <c r="A7" s="16" t="s">
        <v>58</v>
      </c>
      <c r="B7" s="24" t="n">
        <v>14</v>
      </c>
      <c r="C7" s="25" t="n">
        <v>22</v>
      </c>
      <c r="D7" s="26" t="n">
        <f aca="false">C7/3.3058</f>
        <v>6.65497005263476</v>
      </c>
      <c r="E7" s="27" t="n">
        <f aca="false">B7/$B$9</f>
        <v>0.148936170212766</v>
      </c>
      <c r="F7" s="16"/>
    </row>
    <row r="8" customFormat="false" ht="15" hidden="false" customHeight="false" outlineLevel="0" collapsed="false">
      <c r="A8" s="16" t="s">
        <v>59</v>
      </c>
      <c r="B8" s="24" t="n">
        <v>6</v>
      </c>
      <c r="C8" s="25" t="n">
        <v>33</v>
      </c>
      <c r="D8" s="26" t="n">
        <f aca="false">C8/3.3058</f>
        <v>9.98245507895214</v>
      </c>
      <c r="E8" s="27" t="n">
        <f aca="false">B8/$B$9</f>
        <v>0.0638297872340426</v>
      </c>
      <c r="F8" s="16" t="s">
        <v>60</v>
      </c>
    </row>
    <row r="9" customFormat="false" ht="15" hidden="false" customHeight="false" outlineLevel="0" collapsed="false">
      <c r="A9" s="28" t="s">
        <v>61</v>
      </c>
      <c r="B9" s="22" t="n">
        <f aca="false">SUM(B5:B8)</f>
        <v>94</v>
      </c>
      <c r="C9" s="29" t="n">
        <f aca="false">SUMPRODUCT(B5:B8,C5:C8)</f>
        <v>1769</v>
      </c>
      <c r="D9" s="29" t="n">
        <f aca="false">C9/3.3058</f>
        <v>535.120091959586</v>
      </c>
      <c r="E9" s="30"/>
      <c r="F9" s="31" t="s">
        <v>62</v>
      </c>
    </row>
    <row r="11" customFormat="false" ht="15" hidden="false" customHeight="false" outlineLevel="0" collapsed="false">
      <c r="A11" s="11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0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1" t="s">
        <v>64</v>
      </c>
    </row>
    <row r="2" customFormat="false" ht="15" hidden="false" customHeight="false" outlineLevel="0" collapsed="false">
      <c r="A2" s="2" t="s">
        <v>65</v>
      </c>
    </row>
    <row r="4" customFormat="false" ht="30" hidden="false" customHeight="true" outlineLevel="0" collapsed="false">
      <c r="A4" s="23" t="s">
        <v>66</v>
      </c>
      <c r="B4" s="23" t="s">
        <v>67</v>
      </c>
      <c r="C4" s="23" t="s">
        <v>68</v>
      </c>
      <c r="D4" s="23" t="s">
        <v>69</v>
      </c>
      <c r="E4" s="23" t="s">
        <v>54</v>
      </c>
    </row>
    <row r="5" customFormat="false" ht="15" hidden="false" customHeight="false" outlineLevel="0" collapsed="false">
      <c r="A5" s="21" t="s">
        <v>70</v>
      </c>
      <c r="B5" s="32" t="n">
        <v>95000</v>
      </c>
      <c r="C5" s="33" t="s">
        <v>71</v>
      </c>
      <c r="D5" s="17" t="s">
        <v>72</v>
      </c>
      <c r="E5" s="34" t="s">
        <v>73</v>
      </c>
    </row>
    <row r="6" customFormat="false" ht="15" hidden="false" customHeight="false" outlineLevel="0" collapsed="false">
      <c r="A6" s="21" t="s">
        <v>74</v>
      </c>
      <c r="B6" s="35" t="n">
        <v>0.78</v>
      </c>
      <c r="C6" s="17" t="s">
        <v>75</v>
      </c>
      <c r="D6" s="17" t="s">
        <v>76</v>
      </c>
      <c r="E6" s="34" t="s">
        <v>77</v>
      </c>
    </row>
    <row r="7" customFormat="false" ht="15" hidden="false" customHeight="false" outlineLevel="0" collapsed="false">
      <c r="A7" s="21" t="s">
        <v>78</v>
      </c>
      <c r="B7" s="36" t="n">
        <f aca="false">B5*B6</f>
        <v>74100</v>
      </c>
      <c r="C7" s="33" t="s">
        <v>71</v>
      </c>
      <c r="D7" s="17" t="s">
        <v>79</v>
      </c>
      <c r="E7" s="37" t="s">
        <v>80</v>
      </c>
    </row>
    <row r="8" customFormat="false" ht="15" hidden="false" customHeight="false" outlineLevel="0" collapsed="false">
      <c r="A8" s="15" t="s">
        <v>81</v>
      </c>
      <c r="B8" s="32" t="n">
        <v>365</v>
      </c>
      <c r="C8" s="33" t="s">
        <v>82</v>
      </c>
      <c r="D8" s="17" t="s">
        <v>83</v>
      </c>
      <c r="E8" s="34"/>
    </row>
    <row r="9" customFormat="false" ht="15" hidden="false" customHeight="false" outlineLevel="0" collapsed="false">
      <c r="A9" s="15" t="s">
        <v>84</v>
      </c>
      <c r="B9" s="35" t="n">
        <v>0.11</v>
      </c>
      <c r="C9" s="17" t="s">
        <v>75</v>
      </c>
      <c r="D9" s="17" t="s">
        <v>85</v>
      </c>
      <c r="E9" s="37" t="s">
        <v>86</v>
      </c>
    </row>
    <row r="10" customFormat="false" ht="15" hidden="false" customHeight="false" outlineLevel="0" collapsed="false">
      <c r="A10" s="21" t="s">
        <v>87</v>
      </c>
      <c r="B10" s="35" t="n">
        <v>0.38</v>
      </c>
      <c r="C10" s="17" t="s">
        <v>75</v>
      </c>
      <c r="D10" s="17" t="s">
        <v>88</v>
      </c>
      <c r="E10" s="34" t="s">
        <v>89</v>
      </c>
    </row>
    <row r="12" customFormat="false" ht="15" hidden="false" customHeight="false" outlineLevel="0" collapsed="false">
      <c r="A12" s="3" t="s">
        <v>90</v>
      </c>
    </row>
    <row r="13" customFormat="false" ht="30" hidden="false" customHeight="true" outlineLevel="0" collapsed="false">
      <c r="A13" s="23" t="s">
        <v>25</v>
      </c>
      <c r="B13" s="23" t="s">
        <v>26</v>
      </c>
    </row>
    <row r="14" customFormat="false" ht="15" hidden="false" customHeight="false" outlineLevel="0" collapsed="false">
      <c r="A14" s="15" t="s">
        <v>43</v>
      </c>
      <c r="B14" s="16" t="s">
        <v>91</v>
      </c>
    </row>
    <row r="15" customFormat="false" ht="15" hidden="false" customHeight="false" outlineLevel="0" collapsed="false">
      <c r="A15" s="15" t="s">
        <v>92</v>
      </c>
      <c r="B15" s="16" t="s">
        <v>93</v>
      </c>
    </row>
    <row r="16" customFormat="false" ht="15" hidden="false" customHeight="false" outlineLevel="0" collapsed="false">
      <c r="A16" s="15" t="s">
        <v>94</v>
      </c>
      <c r="B16" s="18" t="s">
        <v>95</v>
      </c>
    </row>
    <row r="17" customFormat="false" ht="15" hidden="false" customHeight="false" outlineLevel="0" collapsed="false">
      <c r="A17" s="15" t="s">
        <v>96</v>
      </c>
      <c r="B17" s="16" t="s">
        <v>97</v>
      </c>
    </row>
    <row r="18" customFormat="false" ht="15" hidden="false" customHeight="false" outlineLevel="0" collapsed="false">
      <c r="A18" s="15" t="s">
        <v>98</v>
      </c>
      <c r="B18" s="18" t="s">
        <v>99</v>
      </c>
    </row>
    <row r="19" customFormat="false" ht="15" hidden="false" customHeight="false" outlineLevel="0" collapsed="false">
      <c r="A19" s="15" t="s">
        <v>100</v>
      </c>
      <c r="B19" s="16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6"/>
    <col collapsed="false" customWidth="true" hidden="false" outlineLevel="0" max="3" min="3" style="0" width="20"/>
  </cols>
  <sheetData>
    <row r="1" customFormat="false" ht="17.35" hidden="false" customHeight="false" outlineLevel="0" collapsed="false">
      <c r="A1" s="1" t="s">
        <v>102</v>
      </c>
    </row>
    <row r="2" customFormat="false" ht="15" hidden="false" customHeight="false" outlineLevel="0" collapsed="false">
      <c r="A2" s="2" t="s">
        <v>103</v>
      </c>
    </row>
    <row r="4" customFormat="false" ht="30" hidden="false" customHeight="true" outlineLevel="0" collapsed="false">
      <c r="A4" s="23" t="s">
        <v>25</v>
      </c>
      <c r="B4" s="23" t="s">
        <v>104</v>
      </c>
      <c r="C4" s="23" t="s">
        <v>105</v>
      </c>
    </row>
    <row r="5" customFormat="false" ht="15" hidden="false" customHeight="false" outlineLevel="0" collapsed="false">
      <c r="A5" s="34" t="s">
        <v>106</v>
      </c>
      <c r="B5" s="34" t="s">
        <v>107</v>
      </c>
      <c r="C5" s="36" t="n">
        <f aca="false">94*P02_운영지표!B7*365</f>
        <v>2542371000</v>
      </c>
    </row>
    <row r="6" customFormat="false" ht="15" hidden="false" customHeight="false" outlineLevel="0" collapsed="false">
      <c r="A6" s="34" t="s">
        <v>108</v>
      </c>
      <c r="B6" s="34" t="s">
        <v>109</v>
      </c>
      <c r="C6" s="36" t="n">
        <f aca="false">C5*P02_운영지표!B9</f>
        <v>279660810</v>
      </c>
    </row>
    <row r="7" customFormat="false" ht="15" hidden="false" customHeight="false" outlineLevel="0" collapsed="false">
      <c r="A7" s="15" t="s">
        <v>110</v>
      </c>
      <c r="B7" s="34" t="s">
        <v>111</v>
      </c>
      <c r="C7" s="38" t="n">
        <f aca="false">C5+C6</f>
        <v>2822031810</v>
      </c>
    </row>
    <row r="8" customFormat="false" ht="15" hidden="false" customHeight="false" outlineLevel="0" collapsed="false">
      <c r="A8" s="21" t="s">
        <v>112</v>
      </c>
      <c r="B8" s="34" t="s">
        <v>113</v>
      </c>
      <c r="C8" s="22" t="n">
        <f aca="false">C7*P02_운영지표!B10</f>
        <v>1072372087.8</v>
      </c>
    </row>
    <row r="10" customFormat="false" ht="15" hidden="false" customHeight="false" outlineLevel="0" collapsed="false">
      <c r="A10" s="3" t="s">
        <v>114</v>
      </c>
    </row>
    <row r="11" customFormat="false" ht="30" hidden="false" customHeight="true" outlineLevel="0" collapsed="false">
      <c r="A11" s="23" t="s">
        <v>115</v>
      </c>
      <c r="B11" s="23" t="s">
        <v>104</v>
      </c>
      <c r="C11" s="23" t="s">
        <v>67</v>
      </c>
    </row>
    <row r="12" customFormat="false" ht="15" hidden="false" customHeight="false" outlineLevel="0" collapsed="false">
      <c r="A12" s="15" t="s">
        <v>46</v>
      </c>
      <c r="B12" s="34" t="s">
        <v>116</v>
      </c>
      <c r="C12" s="39" t="n">
        <f aca="false">30000000000/94</f>
        <v>319148936.170213</v>
      </c>
    </row>
    <row r="13" customFormat="false" ht="15" hidden="false" customHeight="false" outlineLevel="0" collapsed="false">
      <c r="A13" s="21" t="s">
        <v>117</v>
      </c>
      <c r="B13" s="37" t="s">
        <v>118</v>
      </c>
      <c r="C13" s="40" t="n">
        <f aca="false">C8/30000000000</f>
        <v>0.03574573626</v>
      </c>
    </row>
    <row r="14" customFormat="false" ht="15" hidden="false" customHeight="false" outlineLevel="0" collapsed="false">
      <c r="A14" s="15" t="s">
        <v>119</v>
      </c>
      <c r="B14" s="34" t="s">
        <v>120</v>
      </c>
      <c r="C14" s="41" t="n">
        <f aca="false">30000000000/C7</f>
        <v>10.6306384973031</v>
      </c>
    </row>
    <row r="15" customFormat="false" ht="15" hidden="false" customHeight="false" outlineLevel="0" collapsed="false">
      <c r="A15" s="21" t="s">
        <v>121</v>
      </c>
      <c r="B15" s="34" t="s">
        <v>122</v>
      </c>
      <c r="C15" s="41" t="n">
        <f aca="false">30000000000/C8</f>
        <v>27.9753644665872</v>
      </c>
    </row>
    <row r="17" customFormat="false" ht="15" hidden="false" customHeight="false" outlineLevel="0" collapsed="false">
      <c r="A17" s="42" t="s">
        <v>123</v>
      </c>
    </row>
    <row r="18" customFormat="false" ht="15" hidden="false" customHeight="false" outlineLevel="0" collapsed="false">
      <c r="A18" s="11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4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125</v>
      </c>
    </row>
    <row r="2" customFormat="false" ht="15" hidden="false" customHeight="false" outlineLevel="0" collapsed="false">
      <c r="A2" s="2" t="s">
        <v>103</v>
      </c>
    </row>
    <row r="4" customFormat="false" ht="30" hidden="false" customHeight="true" outlineLevel="0" collapsed="false">
      <c r="A4" s="23" t="s">
        <v>25</v>
      </c>
      <c r="B4" s="23" t="s">
        <v>26</v>
      </c>
      <c r="C4" s="23" t="s">
        <v>27</v>
      </c>
    </row>
    <row r="5" customFormat="false" ht="15" hidden="false" customHeight="false" outlineLevel="0" collapsed="false">
      <c r="A5" s="15" t="s">
        <v>37</v>
      </c>
      <c r="B5" s="16" t="s">
        <v>126</v>
      </c>
      <c r="C5" s="33" t="s">
        <v>127</v>
      </c>
    </row>
    <row r="6" customFormat="false" ht="15" hidden="false" customHeight="false" outlineLevel="0" collapsed="false">
      <c r="A6" s="15" t="s">
        <v>39</v>
      </c>
      <c r="B6" s="18" t="s">
        <v>128</v>
      </c>
      <c r="C6" s="33" t="s">
        <v>127</v>
      </c>
    </row>
    <row r="7" customFormat="false" ht="15" hidden="false" customHeight="false" outlineLevel="0" collapsed="false">
      <c r="A7" s="15" t="s">
        <v>42</v>
      </c>
      <c r="B7" s="16" t="s">
        <v>129</v>
      </c>
      <c r="C7" s="33" t="s">
        <v>127</v>
      </c>
    </row>
    <row r="8" customFormat="false" ht="15" hidden="false" customHeight="false" outlineLevel="0" collapsed="false">
      <c r="A8" s="15" t="s">
        <v>40</v>
      </c>
      <c r="B8" s="18" t="s">
        <v>130</v>
      </c>
      <c r="C8" s="33" t="s">
        <v>127</v>
      </c>
    </row>
    <row r="9" customFormat="false" ht="15" hidden="false" customHeight="false" outlineLevel="0" collapsed="false">
      <c r="A9" s="15" t="s">
        <v>131</v>
      </c>
      <c r="B9" s="18" t="s">
        <v>132</v>
      </c>
      <c r="C9" s="33" t="s">
        <v>127</v>
      </c>
    </row>
    <row r="10" customFormat="false" ht="15" hidden="false" customHeight="false" outlineLevel="0" collapsed="false">
      <c r="A10" s="15" t="s">
        <v>133</v>
      </c>
      <c r="B10" s="18" t="s">
        <v>134</v>
      </c>
      <c r="C10" s="33" t="s">
        <v>127</v>
      </c>
    </row>
    <row r="11" customFormat="false" ht="15" hidden="false" customHeight="false" outlineLevel="0" collapsed="false">
      <c r="A11" s="15" t="s">
        <v>135</v>
      </c>
      <c r="B11" s="16" t="s">
        <v>136</v>
      </c>
      <c r="C11" s="33" t="s">
        <v>127</v>
      </c>
    </row>
    <row r="12" customFormat="false" ht="15" hidden="false" customHeight="false" outlineLevel="0" collapsed="false">
      <c r="A12" s="15" t="s">
        <v>41</v>
      </c>
      <c r="B12" s="18" t="s">
        <v>137</v>
      </c>
      <c r="C12" s="33" t="s">
        <v>127</v>
      </c>
    </row>
    <row r="13" customFormat="false" ht="15" hidden="false" customHeight="false" outlineLevel="0" collapsed="false">
      <c r="A13" s="15" t="s">
        <v>138</v>
      </c>
      <c r="B13" s="16" t="s">
        <v>139</v>
      </c>
      <c r="C13" s="33" t="s">
        <v>127</v>
      </c>
    </row>
    <row r="14" customFormat="false" ht="15" hidden="false" customHeight="false" outlineLevel="0" collapsed="false">
      <c r="A14" s="15" t="s">
        <v>140</v>
      </c>
      <c r="B14" s="18" t="s">
        <v>141</v>
      </c>
      <c r="C14" s="33" t="s">
        <v>127</v>
      </c>
    </row>
    <row r="15" customFormat="false" ht="15" hidden="false" customHeight="false" outlineLevel="0" collapsed="false">
      <c r="A15" s="15" t="s">
        <v>142</v>
      </c>
      <c r="B15" s="18" t="s">
        <v>143</v>
      </c>
      <c r="C15" s="33" t="s">
        <v>144</v>
      </c>
    </row>
    <row r="17" customFormat="false" ht="15" hidden="false" customHeight="false" outlineLevel="0" collapsed="false">
      <c r="A17" s="15" t="s">
        <v>145</v>
      </c>
      <c r="B17" s="43" t="n">
        <f aca="false">486.2/94</f>
        <v>5.17234042553192</v>
      </c>
      <c r="C17" s="33" t="s">
        <v>146</v>
      </c>
    </row>
    <row r="18" customFormat="false" ht="15" hidden="false" customHeight="false" outlineLevel="0" collapsed="false">
      <c r="A18" s="15" t="s">
        <v>147</v>
      </c>
      <c r="B18" s="43" t="n">
        <f aca="false">3842.6/94</f>
        <v>40.8787234042553</v>
      </c>
      <c r="C18" s="33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  <col collapsed="false" customWidth="true" hidden="false" outlineLevel="0" max="4" min="4" style="0" width="46"/>
  </cols>
  <sheetData>
    <row r="1" customFormat="false" ht="17.35" hidden="false" customHeight="false" outlineLevel="0" collapsed="false">
      <c r="A1" s="1" t="s">
        <v>149</v>
      </c>
    </row>
    <row r="2" customFormat="false" ht="15" hidden="false" customHeight="false" outlineLevel="0" collapsed="false">
      <c r="A2" s="2" t="s">
        <v>103</v>
      </c>
    </row>
    <row r="4" customFormat="false" ht="30" hidden="false" customHeight="true" outlineLevel="0" collapsed="false">
      <c r="A4" s="23" t="s">
        <v>25</v>
      </c>
      <c r="B4" s="23" t="s">
        <v>105</v>
      </c>
      <c r="C4" s="23" t="s">
        <v>150</v>
      </c>
    </row>
    <row r="5" customFormat="false" ht="15" hidden="false" customHeight="false" outlineLevel="0" collapsed="false">
      <c r="A5" s="15" t="s">
        <v>35</v>
      </c>
      <c r="B5" s="44" t="n">
        <v>30000000000</v>
      </c>
      <c r="C5" s="37" t="s">
        <v>151</v>
      </c>
    </row>
    <row r="6" customFormat="false" ht="15" hidden="false" customHeight="false" outlineLevel="0" collapsed="false">
      <c r="A6" s="34" t="s">
        <v>152</v>
      </c>
      <c r="B6" s="45" t="n">
        <f aca="false">ROUND(B5*0.046,0)</f>
        <v>1380000000</v>
      </c>
      <c r="C6" s="34" t="s">
        <v>153</v>
      </c>
    </row>
    <row r="7" customFormat="false" ht="15" hidden="false" customHeight="false" outlineLevel="0" collapsed="false">
      <c r="A7" s="34" t="s">
        <v>154</v>
      </c>
      <c r="B7" s="45" t="n">
        <f aca="false">ROUND(B5*0.009,0)</f>
        <v>270000000</v>
      </c>
      <c r="C7" s="34" t="s">
        <v>155</v>
      </c>
    </row>
    <row r="8" customFormat="false" ht="15" hidden="false" customHeight="false" outlineLevel="0" collapsed="false">
      <c r="A8" s="34" t="s">
        <v>156</v>
      </c>
      <c r="B8" s="44" t="n">
        <v>60000000</v>
      </c>
      <c r="C8" s="34" t="s">
        <v>157</v>
      </c>
    </row>
    <row r="9" customFormat="false" ht="15" hidden="false" customHeight="false" outlineLevel="0" collapsed="false">
      <c r="A9" s="34" t="s">
        <v>158</v>
      </c>
      <c r="B9" s="44" t="n">
        <v>80000000</v>
      </c>
      <c r="C9" s="34" t="s">
        <v>159</v>
      </c>
    </row>
    <row r="10" customFormat="false" ht="15" hidden="false" customHeight="false" outlineLevel="0" collapsed="false">
      <c r="A10" s="46" t="s">
        <v>160</v>
      </c>
      <c r="B10" s="47" t="n">
        <f aca="false">SUM(B5:B9)</f>
        <v>31790000000</v>
      </c>
      <c r="C10" s="48"/>
    </row>
    <row r="12" customFormat="false" ht="15" hidden="false" customHeight="false" outlineLevel="0" collapsed="false">
      <c r="A12" s="3" t="s">
        <v>161</v>
      </c>
    </row>
    <row r="13" customFormat="false" ht="30" hidden="false" customHeight="true" outlineLevel="0" collapsed="false">
      <c r="A13" s="23" t="s">
        <v>162</v>
      </c>
      <c r="B13" s="23" t="s">
        <v>163</v>
      </c>
      <c r="C13" s="23" t="s">
        <v>164</v>
      </c>
      <c r="D13" s="23" t="s">
        <v>26</v>
      </c>
    </row>
    <row r="14" customFormat="false" ht="15" hidden="false" customHeight="false" outlineLevel="0" collapsed="false">
      <c r="A14" s="15" t="s">
        <v>165</v>
      </c>
      <c r="B14" s="20" t="s">
        <v>166</v>
      </c>
      <c r="C14" s="20" t="s">
        <v>166</v>
      </c>
      <c r="D14" s="16" t="s">
        <v>167</v>
      </c>
    </row>
    <row r="15" customFormat="false" ht="15" hidden="false" customHeight="false" outlineLevel="0" collapsed="false">
      <c r="A15" s="15" t="s">
        <v>168</v>
      </c>
      <c r="B15" s="49" t="s">
        <v>169</v>
      </c>
      <c r="C15" s="20" t="s">
        <v>166</v>
      </c>
      <c r="D15" s="18" t="s">
        <v>170</v>
      </c>
    </row>
    <row r="16" customFormat="false" ht="15" hidden="false" customHeight="false" outlineLevel="0" collapsed="false">
      <c r="A16" s="15" t="s">
        <v>171</v>
      </c>
      <c r="B16" s="49" t="s">
        <v>169</v>
      </c>
      <c r="C16" s="20" t="s">
        <v>166</v>
      </c>
      <c r="D16" s="16" t="s">
        <v>172</v>
      </c>
    </row>
    <row r="17" customFormat="false" ht="15" hidden="false" customHeight="false" outlineLevel="0" collapsed="false">
      <c r="A17" s="15" t="s">
        <v>98</v>
      </c>
      <c r="B17" s="20" t="s">
        <v>166</v>
      </c>
      <c r="C17" s="49" t="s">
        <v>169</v>
      </c>
      <c r="D17" s="16" t="s">
        <v>173</v>
      </c>
    </row>
    <row r="18" customFormat="false" ht="15" hidden="false" customHeight="false" outlineLevel="0" collapsed="false">
      <c r="A18" s="15" t="s">
        <v>174</v>
      </c>
      <c r="B18" s="50" t="s">
        <v>175</v>
      </c>
      <c r="C18" s="49" t="s">
        <v>169</v>
      </c>
      <c r="D18" s="16" t="s">
        <v>176</v>
      </c>
    </row>
    <row r="19" customFormat="false" ht="15" hidden="false" customHeight="false" outlineLevel="0" collapsed="false">
      <c r="A19" s="15" t="s">
        <v>177</v>
      </c>
      <c r="B19" s="49" t="s">
        <v>169</v>
      </c>
      <c r="C19" s="49" t="s">
        <v>169</v>
      </c>
      <c r="D19" s="18" t="s">
        <v>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2026-08-03T04:46:13Z</dcterms:created>
  <dc:creator>openpyxl</dc:creator>
  <dc:description/>
  <dc:language>en-US</dc:language>
  <cp:lastModifiedBy/>
  <dcterms:modified xsi:type="dcterms:W3CDTF">2026-08-03T04:46:13Z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