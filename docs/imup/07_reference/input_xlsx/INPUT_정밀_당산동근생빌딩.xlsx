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0_안내" sheetId="1" state="visible" r:id="rId3"/>
    <sheet name="01_물건개요" sheetId="2" state="visible" r:id="rId4"/>
    <sheet name="02_현재임대차" sheetId="3" state="visible" r:id="rId5"/>
    <sheet name="03_임대료현실화" sheetId="4" state="visible" r:id="rId6"/>
    <sheet name="04_인근매물" sheetId="5" state="visible" r:id="rId7"/>
    <sheet name="05_구분등기_권리" sheetId="6" state="visible" r:id="rId8"/>
    <sheet name="06_취득원가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<sst xmlns="http://schemas.openxmlformats.org/spreadsheetml/2006/main" count="336" uniqueCount="223">
  <si>
    <t xml:space="preserve">입력 안내</t>
  </si>
  <si>
    <r>
      <rPr>
        <sz val="9.5"/>
        <color rgb="FF7A8794"/>
        <rFont val="Arial"/>
        <family val="0"/>
        <charset val="1"/>
      </rPr>
      <t xml:space="preserve">CREDEAL IM Studio — </t>
    </r>
    <r>
      <rPr>
        <sz val="9.5"/>
        <color rgb="FF7A8794"/>
        <rFont val="Noto Sans CJK SC"/>
        <family val="2"/>
      </rPr>
      <t xml:space="preserve">이 워크북을 그대로 업로드하십시오</t>
    </r>
  </si>
  <si>
    <t xml:space="preserve">범례</t>
  </si>
  <si>
    <r>
      <rPr>
        <sz val="10"/>
        <color rgb="FF0000FF"/>
        <rFont val="Noto Sans CJK SC"/>
        <family val="2"/>
      </rPr>
      <t xml:space="preserve">파란 글씨 </t>
    </r>
    <r>
      <rPr>
        <sz val="10"/>
        <color rgb="FF0000FF"/>
        <rFont val="Arial"/>
        <family val="0"/>
        <charset val="1"/>
      </rPr>
      <t xml:space="preserve">= </t>
    </r>
    <r>
      <rPr>
        <sz val="10"/>
        <color rgb="FF0000FF"/>
        <rFont val="Noto Sans CJK SC"/>
        <family val="2"/>
      </rPr>
      <t xml:space="preserve">중개인이 입력하는 값</t>
    </r>
  </si>
  <si>
    <r>
      <rPr>
        <sz val="10"/>
        <rFont val="Noto Sans CJK SC"/>
        <family val="2"/>
      </rPr>
      <t xml:space="preserve">검은 글씨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수식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수정 금지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</si>
  <si>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노란 배경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필수 항목</t>
    </r>
  </si>
  <si>
    <t xml:space="preserve">시트 구성</t>
  </si>
  <si>
    <r>
      <rPr>
        <b val="true"/>
        <sz val="10"/>
        <rFont val="Arial"/>
        <family val="0"/>
        <charset val="1"/>
      </rPr>
      <t xml:space="preserve">01_</t>
    </r>
    <r>
      <rPr>
        <b val="true"/>
        <sz val="10"/>
        <rFont val="Noto Sans CJK SC"/>
        <family val="2"/>
      </rPr>
      <t xml:space="preserve">물건개요</t>
    </r>
  </si>
  <si>
    <r>
      <rPr>
        <sz val="10"/>
        <rFont val="Noto Sans CJK SC"/>
        <family val="2"/>
      </rPr>
      <t xml:space="preserve">건축물대장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토지대장</t>
    </r>
  </si>
  <si>
    <r>
      <rPr>
        <b val="true"/>
        <sz val="10"/>
        <rFont val="Arial"/>
        <family val="0"/>
        <charset val="1"/>
      </rPr>
      <t xml:space="preserve">02_</t>
    </r>
    <r>
      <rPr>
        <b val="true"/>
        <sz val="10"/>
        <rFont val="Noto Sans CJK SC"/>
        <family val="2"/>
      </rPr>
      <t xml:space="preserve">현재임대차</t>
    </r>
  </si>
  <si>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호실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최초계약일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환산보증금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갱신권</t>
    </r>
  </si>
  <si>
    <r>
      <rPr>
        <b val="true"/>
        <sz val="10"/>
        <rFont val="Arial"/>
        <family val="0"/>
        <charset val="1"/>
      </rPr>
      <t xml:space="preserve">03_</t>
    </r>
    <r>
      <rPr>
        <b val="true"/>
        <sz val="10"/>
        <rFont val="Noto Sans CJK SC"/>
        <family val="2"/>
      </rPr>
      <t xml:space="preserve">임대료현실화</t>
    </r>
  </si>
  <si>
    <r>
      <rPr>
        <sz val="10"/>
        <rFont val="Noto Sans CJK SC"/>
        <family val="2"/>
      </rPr>
      <t xml:space="preserve">현실화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법적 가능 경로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실현 가능성</t>
    </r>
  </si>
  <si>
    <r>
      <rPr>
        <b val="true"/>
        <sz val="10"/>
        <rFont val="Arial"/>
        <family val="0"/>
        <charset val="1"/>
      </rPr>
      <t xml:space="preserve">04_</t>
    </r>
    <r>
      <rPr>
        <b val="true"/>
        <sz val="10"/>
        <rFont val="Noto Sans CJK SC"/>
        <family val="2"/>
      </rPr>
      <t xml:space="preserve">인근매물</t>
    </r>
  </si>
  <si>
    <r>
      <rPr>
        <sz val="10"/>
        <rFont val="Noto Sans CJK SC"/>
        <family val="2"/>
      </rPr>
      <t xml:space="preserve">비교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건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시세 밴드</t>
    </r>
  </si>
  <si>
    <r>
      <rPr>
        <b val="true"/>
        <sz val="10"/>
        <rFont val="Arial"/>
        <family val="0"/>
        <charset val="1"/>
      </rPr>
      <t xml:space="preserve">05_</t>
    </r>
    <r>
      <rPr>
        <b val="true"/>
        <sz val="10"/>
        <rFont val="Noto Sans CJK SC"/>
        <family val="2"/>
      </rPr>
      <t xml:space="preserve">구분등기</t>
    </r>
    <r>
      <rPr>
        <b val="true"/>
        <sz val="10"/>
        <rFont val="Arial"/>
        <family val="0"/>
        <charset val="1"/>
      </rPr>
      <t xml:space="preserve">_</t>
    </r>
    <r>
      <rPr>
        <b val="true"/>
        <sz val="10"/>
        <rFont val="Noto Sans CJK SC"/>
        <family val="2"/>
      </rPr>
      <t xml:space="preserve">권리</t>
    </r>
  </si>
  <si>
    <r>
      <rPr>
        <sz val="10"/>
        <rFont val="Noto Sans CJK SC"/>
        <family val="2"/>
      </rPr>
      <t xml:space="preserve">호별 소유자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근저당</t>
    </r>
  </si>
  <si>
    <r>
      <rPr>
        <b val="true"/>
        <sz val="10"/>
        <rFont val="Arial"/>
        <family val="0"/>
        <charset val="1"/>
      </rPr>
      <t xml:space="preserve">06_</t>
    </r>
    <r>
      <rPr>
        <b val="true"/>
        <sz val="10"/>
        <rFont val="Noto Sans CJK SC"/>
        <family val="2"/>
      </rPr>
      <t xml:space="preserve">취득원가</t>
    </r>
  </si>
  <si>
    <r>
      <rPr>
        <sz val="10"/>
        <rFont val="Noto Sans CJK SC"/>
        <family val="2"/>
      </rPr>
      <t xml:space="preserve">부대비용 </t>
    </r>
    <r>
      <rPr>
        <sz val="10"/>
        <rFont val="Arial"/>
        <family val="0"/>
        <charset val="1"/>
      </rPr>
      <t xml:space="preserve">+ Cap Rate 4</t>
    </r>
    <r>
      <rPr>
        <sz val="10"/>
        <rFont val="Noto Sans CJK SC"/>
        <family val="2"/>
      </rPr>
      <t xml:space="preserve">기준</t>
    </r>
  </si>
  <si>
    <r>
      <rPr>
        <b val="true"/>
        <sz val="10"/>
        <color rgb="FFA33A3D"/>
        <rFont val="Noto Sans CJK SC"/>
        <family val="2"/>
      </rPr>
      <t xml:space="preserve">정밀 모드 — 첨부 </t>
    </r>
    <r>
      <rPr>
        <b val="true"/>
        <sz val="10"/>
        <color rgb="FFA33A3D"/>
        <rFont val="Arial"/>
        <family val="0"/>
        <charset val="1"/>
      </rPr>
      <t xml:space="preserve">IM</t>
    </r>
    <r>
      <rPr>
        <b val="true"/>
        <sz val="10"/>
        <color rgb="FFA33A3D"/>
        <rFont val="Noto Sans CJK SC"/>
        <family val="2"/>
      </rPr>
      <t xml:space="preserve">에 없는 항목을 테스트용으로 가상 증강했습니다</t>
    </r>
    <r>
      <rPr>
        <b val="true"/>
        <sz val="10"/>
        <color rgb="FFA33A3D"/>
        <rFont val="Arial"/>
        <family val="0"/>
        <charset val="1"/>
      </rPr>
      <t xml:space="preserve">.</t>
    </r>
  </si>
  <si>
    <r>
      <rPr>
        <b val="true"/>
        <sz val="10"/>
        <color rgb="FF7A8794"/>
        <rFont val="Noto Sans CJK SC"/>
        <family val="2"/>
      </rPr>
      <t xml:space="preserve">증강</t>
    </r>
    <r>
      <rPr>
        <b val="true"/>
        <sz val="10"/>
        <color rgb="FF7A8794"/>
        <rFont val="Arial"/>
        <family val="0"/>
        <charset val="1"/>
      </rPr>
      <t xml:space="preserve">: </t>
    </r>
    <r>
      <rPr>
        <b val="true"/>
        <sz val="10"/>
        <color rgb="FF7A8794"/>
        <rFont val="Noto Sans CJK SC"/>
        <family val="2"/>
      </rPr>
      <t xml:space="preserve">최초계약일 </t>
    </r>
    <r>
      <rPr>
        <b val="true"/>
        <sz val="10"/>
        <color rgb="FF7A8794"/>
        <rFont val="Arial"/>
        <family val="0"/>
        <charset val="1"/>
      </rPr>
      <t xml:space="preserve">· </t>
    </r>
    <r>
      <rPr>
        <b val="true"/>
        <sz val="10"/>
        <color rgb="FF7A8794"/>
        <rFont val="Noto Sans CJK SC"/>
        <family val="2"/>
      </rPr>
      <t xml:space="preserve">갱신권 잔여 </t>
    </r>
    <r>
      <rPr>
        <b val="true"/>
        <sz val="10"/>
        <color rgb="FF7A8794"/>
        <rFont val="Arial"/>
        <family val="0"/>
        <charset val="1"/>
      </rPr>
      <t xml:space="preserve">· </t>
    </r>
    <r>
      <rPr>
        <b val="true"/>
        <sz val="10"/>
        <color rgb="FF7A8794"/>
        <rFont val="Noto Sans CJK SC"/>
        <family val="2"/>
      </rPr>
      <t xml:space="preserve">환산보증금 </t>
    </r>
    <r>
      <rPr>
        <b val="true"/>
        <sz val="10"/>
        <color rgb="FF7A8794"/>
        <rFont val="Arial"/>
        <family val="0"/>
        <charset val="1"/>
      </rPr>
      <t xml:space="preserve">· </t>
    </r>
    <r>
      <rPr>
        <b val="true"/>
        <sz val="10"/>
        <color rgb="FF7A8794"/>
        <rFont val="Noto Sans CJK SC"/>
        <family val="2"/>
      </rPr>
      <t xml:space="preserve">구분등기 지분 </t>
    </r>
    <r>
      <rPr>
        <b val="true"/>
        <sz val="10"/>
        <color rgb="FF7A8794"/>
        <rFont val="Arial"/>
        <family val="0"/>
        <charset val="1"/>
      </rPr>
      <t xml:space="preserve">· </t>
    </r>
    <r>
      <rPr>
        <b val="true"/>
        <sz val="10"/>
        <color rgb="FF7A8794"/>
        <rFont val="Noto Sans CJK SC"/>
        <family val="2"/>
      </rPr>
      <t xml:space="preserve">근저당 </t>
    </r>
    <r>
      <rPr>
        <b val="true"/>
        <sz val="10"/>
        <color rgb="FF7A8794"/>
        <rFont val="Arial"/>
        <family val="0"/>
        <charset val="1"/>
      </rPr>
      <t xml:space="preserve">· </t>
    </r>
    <r>
      <rPr>
        <b val="true"/>
        <sz val="10"/>
        <color rgb="FF7A8794"/>
        <rFont val="Noto Sans CJK SC"/>
        <family val="2"/>
      </rPr>
      <t xml:space="preserve">취득 부대비용</t>
    </r>
  </si>
  <si>
    <t xml:space="preserve">물건 개요</t>
  </si>
  <si>
    <r>
      <rPr>
        <sz val="9.5"/>
        <color rgb="FF7A8794"/>
        <rFont val="Noto Sans CJK SC"/>
        <family val="2"/>
      </rPr>
      <t xml:space="preserve">건축물대장</t>
    </r>
    <r>
      <rPr>
        <sz val="9.5"/>
        <color rgb="FF7A8794"/>
        <rFont val="Arial"/>
        <family val="0"/>
        <charset val="1"/>
      </rPr>
      <t xml:space="preserve">·</t>
    </r>
    <r>
      <rPr>
        <sz val="9.5"/>
        <color rgb="FF7A8794"/>
        <rFont val="Noto Sans CJK SC"/>
        <family val="2"/>
      </rPr>
      <t xml:space="preserve">토지대장 자동 수집분</t>
    </r>
  </si>
  <si>
    <t xml:space="preserve">구분</t>
  </si>
  <si>
    <t xml:space="preserve">내용</t>
  </si>
  <si>
    <t xml:space="preserve">주소</t>
  </si>
  <si>
    <r>
      <rPr>
        <sz val="10"/>
        <color rgb="FF0000FF"/>
        <rFont val="Noto Sans CJK SC"/>
        <family val="2"/>
      </rPr>
      <t xml:space="preserve">영등포구 당산동</t>
    </r>
    <r>
      <rPr>
        <sz val="10"/>
        <color rgb="FF0000FF"/>
        <rFont val="Arial"/>
        <family val="0"/>
        <charset val="1"/>
      </rPr>
      <t xml:space="preserve">5</t>
    </r>
    <r>
      <rPr>
        <sz val="10"/>
        <color rgb="FF0000FF"/>
        <rFont val="Noto Sans CJK SC"/>
        <family val="2"/>
      </rPr>
      <t xml:space="preserve">가 </t>
    </r>
    <r>
      <rPr>
        <sz val="10"/>
        <color rgb="FF0000FF"/>
        <rFont val="Arial"/>
        <family val="0"/>
        <charset val="1"/>
      </rPr>
      <t xml:space="preserve">11-47</t>
    </r>
  </si>
  <si>
    <t xml:space="preserve">대지면적</t>
  </si>
  <si>
    <r>
      <rPr>
        <sz val="10"/>
        <color rgb="FF0000FF"/>
        <rFont val="Arial"/>
        <family val="0"/>
        <charset val="1"/>
      </rPr>
      <t xml:space="preserve">506.8</t>
    </r>
    <r>
      <rPr>
        <sz val="10"/>
        <color rgb="FF0000FF"/>
        <rFont val="Noto Sans CJK SC"/>
        <family val="2"/>
      </rPr>
      <t xml:space="preserve">㎡ </t>
    </r>
    <r>
      <rPr>
        <sz val="10"/>
        <color rgb="FF0000FF"/>
        <rFont val="Arial"/>
        <family val="0"/>
        <charset val="1"/>
      </rPr>
      <t xml:space="preserve">(153.31</t>
    </r>
    <r>
      <rPr>
        <sz val="10"/>
        <color rgb="FF0000FF"/>
        <rFont val="Noto Sans CJK SC"/>
        <family val="2"/>
      </rPr>
      <t xml:space="preserve">평</t>
    </r>
    <r>
      <rPr>
        <sz val="10"/>
        <color rgb="FF0000FF"/>
        <rFont val="Arial"/>
        <family val="0"/>
        <charset val="1"/>
      </rPr>
      <t xml:space="preserve">)</t>
    </r>
  </si>
  <si>
    <t xml:space="preserve">지목</t>
  </si>
  <si>
    <t xml:space="preserve">대</t>
  </si>
  <si>
    <r>
      <rPr>
        <b val="true"/>
        <sz val="10"/>
        <rFont val="Noto Sans CJK SC"/>
        <family val="2"/>
      </rPr>
      <t xml:space="preserve">지역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지구</t>
    </r>
  </si>
  <si>
    <t xml:space="preserve">준공업지역</t>
  </si>
  <si>
    <t xml:space="preserve">건축면적</t>
  </si>
  <si>
    <r>
      <rPr>
        <sz val="10"/>
        <color rgb="FF0000FF"/>
        <rFont val="Arial"/>
        <family val="0"/>
        <charset val="1"/>
      </rPr>
      <t xml:space="preserve">263.01</t>
    </r>
    <r>
      <rPr>
        <sz val="10"/>
        <color rgb="FF0000FF"/>
        <rFont val="Noto Sans CJK SC"/>
        <family val="2"/>
      </rPr>
      <t xml:space="preserve">㎡ </t>
    </r>
    <r>
      <rPr>
        <sz val="10"/>
        <color rgb="FF0000FF"/>
        <rFont val="Arial"/>
        <family val="0"/>
        <charset val="1"/>
      </rPr>
      <t xml:space="preserve">(79.6</t>
    </r>
    <r>
      <rPr>
        <sz val="10"/>
        <color rgb="FF0000FF"/>
        <rFont val="Noto Sans CJK SC"/>
        <family val="2"/>
      </rPr>
      <t xml:space="preserve">평</t>
    </r>
    <r>
      <rPr>
        <sz val="10"/>
        <color rgb="FF0000FF"/>
        <rFont val="Arial"/>
        <family val="0"/>
        <charset val="1"/>
      </rPr>
      <t xml:space="preserve">)</t>
    </r>
  </si>
  <si>
    <t xml:space="preserve">건폐율</t>
  </si>
  <si>
    <t xml:space="preserve">51.9%</t>
  </si>
  <si>
    <r>
      <rPr>
        <b val="true"/>
        <sz val="10"/>
        <rFont val="Noto Sans CJK SC"/>
        <family val="2"/>
      </rPr>
      <t xml:space="preserve">연면적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층별 합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</si>
  <si>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color rgb="FF0000FF"/>
        <rFont val="Arial"/>
        <family val="0"/>
        <charset val="1"/>
      </rPr>
      <t xml:space="preserve">1,441.15</t>
    </r>
    <r>
      <rPr>
        <sz val="10"/>
        <color rgb="FF0000FF"/>
        <rFont val="Noto Sans CJK SC"/>
        <family val="2"/>
      </rPr>
      <t xml:space="preserve">㎡ </t>
    </r>
    <r>
      <rPr>
        <sz val="10"/>
        <color rgb="FF0000FF"/>
        <rFont val="Arial"/>
        <family val="0"/>
        <charset val="1"/>
      </rPr>
      <t xml:space="preserve">(435.9</t>
    </r>
    <r>
      <rPr>
        <sz val="10"/>
        <color rgb="FF0000FF"/>
        <rFont val="Noto Sans CJK SC"/>
        <family val="2"/>
      </rPr>
      <t xml:space="preserve">평</t>
    </r>
    <r>
      <rPr>
        <sz val="10"/>
        <color rgb="FF0000FF"/>
        <rFont val="Arial"/>
        <family val="0"/>
        <charset val="1"/>
      </rPr>
      <t xml:space="preserve">)</t>
    </r>
  </si>
  <si>
    <t xml:space="preserve">지상 연면적</t>
  </si>
  <si>
    <r>
      <rPr>
        <sz val="10"/>
        <color rgb="FF0000FF"/>
        <rFont val="Arial"/>
        <family val="0"/>
        <charset val="1"/>
      </rPr>
      <t xml:space="preserve">1,123.93</t>
    </r>
    <r>
      <rPr>
        <sz val="10"/>
        <color rgb="FF0000FF"/>
        <rFont val="Noto Sans CJK SC"/>
        <family val="2"/>
      </rPr>
      <t xml:space="preserve">㎡ </t>
    </r>
    <r>
      <rPr>
        <sz val="10"/>
        <color rgb="FF0000FF"/>
        <rFont val="Arial"/>
        <family val="0"/>
        <charset val="1"/>
      </rPr>
      <t xml:space="preserve">(340.0</t>
    </r>
    <r>
      <rPr>
        <sz val="10"/>
        <color rgb="FF0000FF"/>
        <rFont val="Noto Sans CJK SC"/>
        <family val="2"/>
      </rPr>
      <t xml:space="preserve">평</t>
    </r>
    <r>
      <rPr>
        <sz val="10"/>
        <color rgb="FF0000FF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</si>
  <si>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용적률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지상 기준</t>
    </r>
    <r>
      <rPr>
        <b val="true"/>
        <sz val="10"/>
        <rFont val="Arial"/>
        <family val="0"/>
        <charset val="1"/>
      </rPr>
      <t xml:space="preserve">)</t>
    </r>
  </si>
  <si>
    <t xml:space="preserve">221.8%</t>
  </si>
  <si>
    <t xml:space="preserve">준공</t>
  </si>
  <si>
    <r>
      <rPr>
        <sz val="10"/>
        <color rgb="FF0000FF"/>
        <rFont val="Arial"/>
        <family val="0"/>
        <charset val="1"/>
      </rPr>
      <t xml:space="preserve">2002</t>
    </r>
    <r>
      <rPr>
        <sz val="10"/>
        <color rgb="FF0000FF"/>
        <rFont val="Noto Sans CJK SC"/>
        <family val="2"/>
      </rPr>
      <t xml:space="preserve">년</t>
    </r>
  </si>
  <si>
    <t xml:space="preserve">층수</t>
  </si>
  <si>
    <t xml:space="preserve">B1 ~ 5F</t>
  </si>
  <si>
    <t xml:space="preserve">주차</t>
  </si>
  <si>
    <r>
      <rPr>
        <sz val="10"/>
        <color rgb="FF0000FF"/>
        <rFont val="Noto Sans CJK SC"/>
        <family val="2"/>
      </rPr>
      <t xml:space="preserve">자주식 </t>
    </r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대</t>
    </r>
  </si>
  <si>
    <t xml:space="preserve">E/V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</si>
  <si>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대</t>
    </r>
  </si>
  <si>
    <t xml:space="preserve">등기 형태</t>
  </si>
  <si>
    <r>
      <rPr>
        <sz val="10"/>
        <color rgb="FF0000FF"/>
        <rFont val="Noto Sans CJK SC"/>
        <family val="2"/>
      </rPr>
      <t xml:space="preserve">층별구분등기 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공유자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인 </t>
    </r>
    <r>
      <rPr>
        <sz val="10"/>
        <color rgb="FF0000FF"/>
        <rFont val="Arial"/>
        <family val="0"/>
        <charset val="1"/>
      </rPr>
      <t xml:space="preserve">· </t>
    </r>
    <r>
      <rPr>
        <sz val="10"/>
        <color rgb="FF0000FF"/>
        <rFont val="Noto Sans CJK SC"/>
        <family val="2"/>
      </rPr>
      <t xml:space="preserve">형제</t>
    </r>
    <r>
      <rPr>
        <sz val="10"/>
        <color rgb="FF0000FF"/>
        <rFont val="Arial"/>
        <family val="0"/>
        <charset val="1"/>
      </rPr>
      <t xml:space="preserve">)</t>
    </r>
  </si>
  <si>
    <r>
      <rPr>
        <sz val="9"/>
        <color rgb="FFA33A3D"/>
        <rFont val="Arial"/>
        <family val="0"/>
        <charset val="1"/>
      </rPr>
      <t xml:space="preserve">※ IM </t>
    </r>
    <r>
      <rPr>
        <sz val="9"/>
        <color rgb="FFA33A3D"/>
        <rFont val="Noto Sans CJK SC"/>
        <family val="2"/>
      </rPr>
      <t xml:space="preserve">원본은 연면적을 </t>
    </r>
    <r>
      <rPr>
        <sz val="9"/>
        <color rgb="FFA33A3D"/>
        <rFont val="Arial"/>
        <family val="0"/>
        <charset val="1"/>
      </rPr>
      <t xml:space="preserve">1,141.15</t>
    </r>
    <r>
      <rPr>
        <sz val="9"/>
        <color rgb="FFA33A3D"/>
        <rFont val="Noto Sans CJK SC"/>
        <family val="2"/>
      </rPr>
      <t xml:space="preserve">㎡</t>
    </r>
    <r>
      <rPr>
        <sz val="9"/>
        <color rgb="FFA33A3D"/>
        <rFont val="Arial"/>
        <family val="0"/>
        <charset val="1"/>
      </rPr>
      <t xml:space="preserve">(307.9</t>
    </r>
    <r>
      <rPr>
        <sz val="9"/>
        <color rgb="FFA33A3D"/>
        <rFont val="Noto Sans CJK SC"/>
        <family val="2"/>
      </rPr>
      <t xml:space="preserve">평</t>
    </r>
    <r>
      <rPr>
        <sz val="9"/>
        <color rgb="FFA33A3D"/>
        <rFont val="Arial"/>
        <family val="0"/>
        <charset val="1"/>
      </rPr>
      <t xml:space="preserve">)</t>
    </r>
    <r>
      <rPr>
        <sz val="9"/>
        <color rgb="FFA33A3D"/>
        <rFont val="Noto Sans CJK SC"/>
        <family val="2"/>
      </rPr>
      <t xml:space="preserve">로 기재했으나 층별 합은 </t>
    </r>
    <r>
      <rPr>
        <sz val="9"/>
        <color rgb="FFA33A3D"/>
        <rFont val="Arial"/>
        <family val="0"/>
        <charset val="1"/>
      </rPr>
      <t xml:space="preserve">1,441.15</t>
    </r>
    <r>
      <rPr>
        <sz val="9"/>
        <color rgb="FFA33A3D"/>
        <rFont val="Noto Sans CJK SC"/>
        <family val="2"/>
      </rPr>
      <t xml:space="preserve">㎡</t>
    </r>
    <r>
      <rPr>
        <sz val="9"/>
        <color rgb="FFA33A3D"/>
        <rFont val="Arial"/>
        <family val="0"/>
        <charset val="1"/>
      </rPr>
      <t xml:space="preserve">(435.9</t>
    </r>
    <r>
      <rPr>
        <sz val="9"/>
        <color rgb="FFA33A3D"/>
        <rFont val="Noto Sans CJK SC"/>
        <family val="2"/>
      </rPr>
      <t xml:space="preserve">평</t>
    </r>
    <r>
      <rPr>
        <sz val="9"/>
        <color rgb="FFA33A3D"/>
        <rFont val="Arial"/>
        <family val="0"/>
        <charset val="1"/>
      </rPr>
      <t xml:space="preserve">)</t>
    </r>
    <r>
      <rPr>
        <sz val="9"/>
        <color rgb="FFA33A3D"/>
        <rFont val="Noto Sans CJK SC"/>
        <family val="2"/>
      </rPr>
      <t xml:space="preserve">입니다</t>
    </r>
    <r>
      <rPr>
        <sz val="9"/>
        <color rgb="FFA33A3D"/>
        <rFont val="Arial"/>
        <family val="0"/>
        <charset val="1"/>
      </rPr>
      <t xml:space="preserve">. 300</t>
    </r>
    <r>
      <rPr>
        <sz val="9"/>
        <color rgb="FFA33A3D"/>
        <rFont val="Noto Sans CJK SC"/>
        <family val="2"/>
      </rPr>
      <t xml:space="preserve">㎡ 차이는 타이핑 오기로 보입니다</t>
    </r>
    <r>
      <rPr>
        <sz val="9"/>
        <color rgb="FFA33A3D"/>
        <rFont val="Arial"/>
        <family val="0"/>
        <charset val="1"/>
      </rPr>
      <t xml:space="preserve">.</t>
    </r>
  </si>
  <si>
    <r>
      <rPr>
        <sz val="9"/>
        <color rgb="FF8E6A20"/>
        <rFont val="Noto Sans CJK SC"/>
        <family val="2"/>
      </rPr>
      <t xml:space="preserve">※ 용적률 </t>
    </r>
    <r>
      <rPr>
        <sz val="9"/>
        <color rgb="FF8E6A20"/>
        <rFont val="Arial"/>
        <family val="0"/>
        <charset val="1"/>
      </rPr>
      <t xml:space="preserve">221.8%</t>
    </r>
    <r>
      <rPr>
        <sz val="9"/>
        <color rgb="FF8E6A20"/>
        <rFont val="Noto Sans CJK SC"/>
        <family val="2"/>
      </rPr>
      <t xml:space="preserve">는 지하를 제외한 지상 연면적 기준입니다 </t>
    </r>
    <r>
      <rPr>
        <sz val="9"/>
        <color rgb="FF8E6A20"/>
        <rFont val="Arial"/>
        <family val="0"/>
        <charset val="1"/>
      </rPr>
      <t xml:space="preserve">(1,123.93 ÷ 506.8). </t>
    </r>
    <r>
      <rPr>
        <sz val="9"/>
        <color rgb="FF8E6A20"/>
        <rFont val="Noto Sans CJK SC"/>
        <family val="2"/>
      </rPr>
      <t xml:space="preserve">전체 연면적 기준은 </t>
    </r>
    <r>
      <rPr>
        <sz val="9"/>
        <color rgb="FF8E6A20"/>
        <rFont val="Arial"/>
        <family val="0"/>
        <charset val="1"/>
      </rPr>
      <t xml:space="preserve">284.4%</t>
    </r>
    <r>
      <rPr>
        <sz val="9"/>
        <color rgb="FF8E6A20"/>
        <rFont val="Noto Sans CJK SC"/>
        <family val="2"/>
      </rPr>
      <t xml:space="preserve">입니다</t>
    </r>
    <r>
      <rPr>
        <sz val="9"/>
        <color rgb="FF8E6A20"/>
        <rFont val="Arial"/>
        <family val="0"/>
        <charset val="1"/>
      </rPr>
      <t xml:space="preserve">.</t>
    </r>
  </si>
  <si>
    <t xml:space="preserve">현재 임대 현황</t>
  </si>
  <si>
    <r>
      <rPr>
        <sz val="9.5"/>
        <color rgb="FF7A8794"/>
        <rFont val="Arial"/>
        <family val="0"/>
        <charset val="1"/>
      </rPr>
      <t xml:space="preserve">2025</t>
    </r>
    <r>
      <rPr>
        <sz val="9.5"/>
        <color rgb="FF7A8794"/>
        <rFont val="Noto Sans CJK SC"/>
        <family val="2"/>
      </rPr>
      <t xml:space="preserve">년 </t>
    </r>
    <r>
      <rPr>
        <sz val="9.5"/>
        <color rgb="FF7A8794"/>
        <rFont val="Arial"/>
        <family val="0"/>
        <charset val="1"/>
      </rPr>
      <t xml:space="preserve">5</t>
    </r>
    <r>
      <rPr>
        <sz val="9.5"/>
        <color rgb="FF7A8794"/>
        <rFont val="Noto Sans CJK SC"/>
        <family val="2"/>
      </rPr>
      <t xml:space="preserve">월 기준 </t>
    </r>
    <r>
      <rPr>
        <sz val="9.5"/>
        <color rgb="FF7A8794"/>
        <rFont val="Arial"/>
        <family val="0"/>
        <charset val="1"/>
      </rPr>
      <t xml:space="preserve">· </t>
    </r>
    <r>
      <rPr>
        <sz val="9.5"/>
        <color rgb="FF7A8794"/>
        <rFont val="Noto Sans CJK SC"/>
        <family val="2"/>
      </rPr>
      <t xml:space="preserve">정밀 모드</t>
    </r>
  </si>
  <si>
    <t xml:space="preserve">층</t>
  </si>
  <si>
    <t xml:space="preserve">호수</t>
  </si>
  <si>
    <r>
      <rPr>
        <b val="true"/>
        <sz val="9"/>
        <color rgb="FFFFFFFF"/>
        <rFont val="Noto Sans CJK SC"/>
        <family val="2"/>
      </rPr>
      <t xml:space="preserve">임대면적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㎡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</si>
  <si>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임대면적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평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</si>
  <si>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임차인</t>
  </si>
  <si>
    <r>
      <rPr>
        <b val="true"/>
        <sz val="9"/>
        <color rgb="FFFFFFFF"/>
        <rFont val="Noto Sans CJK SC"/>
        <family val="2"/>
      </rPr>
      <t xml:space="preserve">보증금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천원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</si>
  <si>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월세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천원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</si>
  <si>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만기</t>
  </si>
  <si>
    <t xml:space="preserve">최초 계약일</t>
  </si>
  <si>
    <r>
      <rPr>
        <b val="true"/>
        <sz val="9"/>
        <color rgb="FFFFFFFF"/>
        <rFont val="Noto Sans CJK SC"/>
        <family val="2"/>
      </rPr>
      <t xml:space="preserve">경과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년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</si>
  <si>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갱신권 잔여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년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</si>
  <si>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환산보증금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억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</si>
  <si>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상임법</t>
  </si>
  <si>
    <r>
      <rPr>
        <b val="true"/>
        <sz val="9"/>
        <color rgb="FFFFFFFF"/>
        <rFont val="Noto Sans CJK SC"/>
        <family val="2"/>
      </rPr>
      <t xml:space="preserve">평당 월세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천원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</si>
  <si>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B1</t>
  </si>
  <si>
    <t xml:space="preserve">B101</t>
  </si>
  <si>
    <t xml:space="preserve">데이르 카페</t>
  </si>
  <si>
    <t xml:space="preserve">자가</t>
  </si>
  <si>
    <t xml:space="preserve">—</t>
  </si>
  <si>
    <t xml:space="preserve">1F</t>
  </si>
  <si>
    <t xml:space="preserve">101</t>
  </si>
  <si>
    <t xml:space="preserve">고은약국</t>
  </si>
  <si>
    <t xml:space="preserve">임대</t>
  </si>
  <si>
    <t xml:space="preserve">2026-08-31</t>
  </si>
  <si>
    <t xml:space="preserve">2014-09</t>
  </si>
  <si>
    <t xml:space="preserve">전면</t>
  </si>
  <si>
    <t xml:space="preserve">102</t>
  </si>
  <si>
    <t xml:space="preserve">로뎀나무내과</t>
  </si>
  <si>
    <t xml:space="preserve">일부</t>
  </si>
  <si>
    <t xml:space="preserve">2F</t>
  </si>
  <si>
    <t xml:space="preserve">201</t>
  </si>
  <si>
    <r>
      <rPr>
        <sz val="10"/>
        <color rgb="FF0000FF"/>
        <rFont val="Noto Sans CJK SC"/>
        <family val="2"/>
      </rPr>
      <t xml:space="preserve">임대</t>
    </r>
    <r>
      <rPr>
        <sz val="10"/>
        <color rgb="FF0000FF"/>
        <rFont val="Arial"/>
        <family val="0"/>
        <charset val="1"/>
      </rPr>
      <t xml:space="preserve">(1F</t>
    </r>
    <r>
      <rPr>
        <sz val="10"/>
        <color rgb="FF0000FF"/>
        <rFont val="Noto Sans CJK SC"/>
        <family val="2"/>
      </rPr>
      <t xml:space="preserve">합산</t>
    </r>
    <r>
      <rPr>
        <sz val="10"/>
        <color rgb="FF0000FF"/>
        <rFont val="Arial"/>
        <family val="0"/>
        <charset val="1"/>
      </rPr>
      <t xml:space="preserve">)</t>
    </r>
  </si>
  <si>
    <t xml:space="preserve">3F</t>
  </si>
  <si>
    <t xml:space="preserve">301</t>
  </si>
  <si>
    <t xml:space="preserve">헬쓰장</t>
  </si>
  <si>
    <t xml:space="preserve">2026-04-17</t>
  </si>
  <si>
    <t xml:space="preserve">2021-04</t>
  </si>
  <si>
    <t xml:space="preserve">4F</t>
  </si>
  <si>
    <t xml:space="preserve">401</t>
  </si>
  <si>
    <t xml:space="preserve">국제와인</t>
  </si>
  <si>
    <t xml:space="preserve">2025-04-30</t>
  </si>
  <si>
    <t xml:space="preserve">2022-05</t>
  </si>
  <si>
    <t xml:space="preserve">402</t>
  </si>
  <si>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자가</t>
    </r>
    <r>
      <rPr>
        <sz val="10"/>
        <color rgb="FF0000FF"/>
        <rFont val="Arial"/>
        <family val="0"/>
        <charset val="1"/>
      </rPr>
      <t xml:space="preserve">)</t>
    </r>
  </si>
  <si>
    <t xml:space="preserve">5F</t>
  </si>
  <si>
    <t xml:space="preserve">501</t>
  </si>
  <si>
    <t xml:space="preserve">합계</t>
  </si>
  <si>
    <r>
      <rPr>
        <sz val="9"/>
        <color rgb="FF7A8794"/>
        <rFont val="Noto Sans CJK SC"/>
        <family val="2"/>
      </rPr>
      <t xml:space="preserve">※ 로뎀나무내과 </t>
    </r>
    <r>
      <rPr>
        <sz val="9"/>
        <color rgb="FF7A8794"/>
        <rFont val="Arial"/>
        <family val="0"/>
        <charset val="1"/>
      </rPr>
      <t xml:space="preserve">1F(102)·2F(201)</t>
    </r>
    <r>
      <rPr>
        <sz val="9"/>
        <color rgb="FF7A8794"/>
        <rFont val="Noto Sans CJK SC"/>
        <family val="2"/>
      </rPr>
      <t xml:space="preserve">는 합산 계약이며 보증금</t>
    </r>
    <r>
      <rPr>
        <sz val="9"/>
        <color rgb="FF7A8794"/>
        <rFont val="Arial"/>
        <family val="0"/>
        <charset val="1"/>
      </rPr>
      <t xml:space="preserve">·</t>
    </r>
    <r>
      <rPr>
        <sz val="9"/>
        <color rgb="FF7A8794"/>
        <rFont val="Noto Sans CJK SC"/>
        <family val="2"/>
      </rPr>
      <t xml:space="preserve">월세가 </t>
    </r>
    <r>
      <rPr>
        <sz val="9"/>
        <color rgb="FF7A8794"/>
        <rFont val="Arial"/>
        <family val="0"/>
        <charset val="1"/>
      </rPr>
      <t xml:space="preserve">102</t>
    </r>
    <r>
      <rPr>
        <sz val="9"/>
        <color rgb="FF7A8794"/>
        <rFont val="Noto Sans CJK SC"/>
        <family val="2"/>
      </rPr>
      <t xml:space="preserve">행에 통합 표기됩니다</t>
    </r>
    <r>
      <rPr>
        <sz val="9"/>
        <color rgb="FF7A8794"/>
        <rFont val="Arial"/>
        <family val="0"/>
        <charset val="1"/>
      </rPr>
      <t xml:space="preserve">.</t>
    </r>
  </si>
  <si>
    <r>
      <rPr>
        <sz val="9"/>
        <color rgb="FFA33A3D"/>
        <rFont val="Noto Sans CJK SC"/>
        <family val="2"/>
      </rPr>
      <t xml:space="preserve">※ 최초 계약일은 </t>
    </r>
    <r>
      <rPr>
        <sz val="9"/>
        <color rgb="FFA33A3D"/>
        <rFont val="Arial"/>
        <family val="0"/>
        <charset val="1"/>
      </rPr>
      <t xml:space="preserve">IM </t>
    </r>
    <r>
      <rPr>
        <sz val="9"/>
        <color rgb="FFA33A3D"/>
        <rFont val="Noto Sans CJK SC"/>
        <family val="2"/>
      </rPr>
      <t xml:space="preserve">원본의 </t>
    </r>
    <r>
      <rPr>
        <sz val="9"/>
        <color rgb="FFA33A3D"/>
        <rFont val="Arial"/>
        <family val="0"/>
        <charset val="1"/>
      </rPr>
      <t xml:space="preserve">"</t>
    </r>
    <r>
      <rPr>
        <sz val="9"/>
        <color rgb="FFA33A3D"/>
        <rFont val="Noto Sans CJK SC"/>
        <family val="2"/>
      </rPr>
      <t xml:space="preserve">임대 </t>
    </r>
    <r>
      <rPr>
        <sz val="9"/>
        <color rgb="FFA33A3D"/>
        <rFont val="Arial"/>
        <family val="0"/>
        <charset val="1"/>
      </rPr>
      <t xml:space="preserve">11</t>
    </r>
    <r>
      <rPr>
        <sz val="9"/>
        <color rgb="FFA33A3D"/>
        <rFont val="Noto Sans CJK SC"/>
        <family val="2"/>
      </rPr>
      <t xml:space="preserve">년 경과</t>
    </r>
    <r>
      <rPr>
        <sz val="9"/>
        <color rgb="FFA33A3D"/>
        <rFont val="Arial"/>
        <family val="0"/>
        <charset val="1"/>
      </rPr>
      <t xml:space="preserve">" </t>
    </r>
    <r>
      <rPr>
        <sz val="9"/>
        <color rgb="FFA33A3D"/>
        <rFont val="Noto Sans CJK SC"/>
        <family val="2"/>
      </rPr>
      <t xml:space="preserve">표기에서 역산했고</t>
    </r>
    <r>
      <rPr>
        <sz val="9"/>
        <color rgb="FFA33A3D"/>
        <rFont val="Arial"/>
        <family val="0"/>
        <charset val="1"/>
      </rPr>
      <t xml:space="preserve">, </t>
    </r>
    <r>
      <rPr>
        <sz val="9"/>
        <color rgb="FFA33A3D"/>
        <rFont val="Noto Sans CJK SC"/>
        <family val="2"/>
      </rPr>
      <t xml:space="preserve">헬쓰장</t>
    </r>
    <r>
      <rPr>
        <sz val="9"/>
        <color rgb="FFA33A3D"/>
        <rFont val="Arial"/>
        <family val="0"/>
        <charset val="1"/>
      </rPr>
      <t xml:space="preserve">·</t>
    </r>
    <r>
      <rPr>
        <sz val="9"/>
        <color rgb="FFA33A3D"/>
        <rFont val="Noto Sans CJK SC"/>
        <family val="2"/>
      </rPr>
      <t xml:space="preserve">국제와인은 가상 증강입니다</t>
    </r>
    <r>
      <rPr>
        <sz val="9"/>
        <color rgb="FFA33A3D"/>
        <rFont val="Arial"/>
        <family val="0"/>
        <charset val="1"/>
      </rPr>
      <t xml:space="preserve">. [</t>
    </r>
    <r>
      <rPr>
        <sz val="9"/>
        <color rgb="FFA33A3D"/>
        <rFont val="Noto Sans CJK SC"/>
        <family val="2"/>
      </rPr>
      <t xml:space="preserve">테스트용</t>
    </r>
    <r>
      <rPr>
        <sz val="9"/>
        <color rgb="FFA33A3D"/>
        <rFont val="Arial"/>
        <family val="0"/>
        <charset val="1"/>
      </rPr>
      <t xml:space="preserve">]</t>
    </r>
  </si>
  <si>
    <r>
      <rPr>
        <sz val="9"/>
        <color rgb="FF8E6A20"/>
        <rFont val="Noto Sans CJK SC"/>
        <family val="2"/>
      </rPr>
      <t xml:space="preserve">※ 환산보증금 </t>
    </r>
    <r>
      <rPr>
        <sz val="9"/>
        <color rgb="FF8E6A20"/>
        <rFont val="Arial"/>
        <family val="0"/>
        <charset val="1"/>
      </rPr>
      <t xml:space="preserve">= </t>
    </r>
    <r>
      <rPr>
        <sz val="9"/>
        <color rgb="FF8E6A20"/>
        <rFont val="Noto Sans CJK SC"/>
        <family val="2"/>
      </rPr>
      <t xml:space="preserve">보증금 </t>
    </r>
    <r>
      <rPr>
        <sz val="9"/>
        <color rgb="FF8E6A20"/>
        <rFont val="Arial"/>
        <family val="0"/>
        <charset val="1"/>
      </rPr>
      <t xml:space="preserve">+ (</t>
    </r>
    <r>
      <rPr>
        <sz val="9"/>
        <color rgb="FF8E6A20"/>
        <rFont val="Noto Sans CJK SC"/>
        <family val="2"/>
      </rPr>
      <t xml:space="preserve">월세 </t>
    </r>
    <r>
      <rPr>
        <sz val="9"/>
        <color rgb="FF8E6A20"/>
        <rFont val="Arial"/>
        <family val="0"/>
        <charset val="1"/>
      </rPr>
      <t xml:space="preserve">× 100). </t>
    </r>
    <r>
      <rPr>
        <sz val="9"/>
        <color rgb="FF8E6A20"/>
        <rFont val="Noto Sans CJK SC"/>
        <family val="2"/>
      </rPr>
      <t xml:space="preserve">서울 기준 </t>
    </r>
    <r>
      <rPr>
        <sz val="9"/>
        <color rgb="FF8E6A20"/>
        <rFont val="Arial"/>
        <family val="0"/>
        <charset val="1"/>
      </rPr>
      <t xml:space="preserve">9</t>
    </r>
    <r>
      <rPr>
        <sz val="9"/>
        <color rgb="FF8E6A20"/>
        <rFont val="Noto Sans CJK SC"/>
        <family val="2"/>
      </rPr>
      <t xml:space="preserve">억 이하면 전면 적용 — 차임 인상률 </t>
    </r>
    <r>
      <rPr>
        <sz val="9"/>
        <color rgb="FF8E6A20"/>
        <rFont val="Arial"/>
        <family val="0"/>
        <charset val="1"/>
      </rPr>
      <t xml:space="preserve">5% </t>
    </r>
    <r>
      <rPr>
        <sz val="9"/>
        <color rgb="FF8E6A20"/>
        <rFont val="Noto Sans CJK SC"/>
        <family val="2"/>
      </rPr>
      <t xml:space="preserve">상한이 걸립니다</t>
    </r>
    <r>
      <rPr>
        <sz val="9"/>
        <color rgb="FF8E6A20"/>
        <rFont val="Arial"/>
        <family val="0"/>
        <charset val="1"/>
      </rPr>
      <t xml:space="preserve">.</t>
    </r>
  </si>
  <si>
    <t xml:space="preserve">임대료 현실화 방안</t>
  </si>
  <si>
    <r>
      <rPr>
        <sz val="9.5"/>
        <color rgb="FF7A8794"/>
        <rFont val="Noto Sans CJK SC"/>
        <family val="2"/>
      </rPr>
      <t xml:space="preserve">기준단가 </t>
    </r>
    <r>
      <rPr>
        <sz val="9.5"/>
        <color rgb="FF7A8794"/>
        <rFont val="Arial"/>
        <family val="0"/>
        <charset val="1"/>
      </rPr>
      <t xml:space="preserve">62.4</t>
    </r>
    <r>
      <rPr>
        <sz val="9.5"/>
        <color rgb="FF7A8794"/>
        <rFont val="Noto Sans CJK SC"/>
        <family val="2"/>
      </rPr>
      <t xml:space="preserve">천원</t>
    </r>
    <r>
      <rPr>
        <sz val="9.5"/>
        <color rgb="FF7A8794"/>
        <rFont val="Arial"/>
        <family val="0"/>
        <charset val="1"/>
      </rPr>
      <t xml:space="preserve">/</t>
    </r>
    <r>
      <rPr>
        <sz val="9.5"/>
        <color rgb="FF7A8794"/>
        <rFont val="Noto Sans CJK SC"/>
        <family val="2"/>
      </rPr>
      <t xml:space="preserve">평 </t>
    </r>
    <r>
      <rPr>
        <sz val="9.5"/>
        <color rgb="FF7A8794"/>
        <rFont val="Arial"/>
        <family val="0"/>
        <charset val="1"/>
      </rPr>
      <t xml:space="preserve">(3F </t>
    </r>
    <r>
      <rPr>
        <sz val="9.5"/>
        <color rgb="FF7A8794"/>
        <rFont val="Noto Sans CJK SC"/>
        <family val="2"/>
      </rPr>
      <t xml:space="preserve">기준층</t>
    </r>
    <r>
      <rPr>
        <sz val="9.5"/>
        <color rgb="FF7A8794"/>
        <rFont val="Arial"/>
        <family val="0"/>
        <charset val="1"/>
      </rPr>
      <t xml:space="preserve">)</t>
    </r>
  </si>
  <si>
    <r>
      <rPr>
        <b val="true"/>
        <sz val="9"/>
        <color rgb="FFFFFFFF"/>
        <rFont val="Arial"/>
        <family val="0"/>
        <charset val="1"/>
      </rPr>
      <t xml:space="preserve">NOC(</t>
    </r>
    <r>
      <rPr>
        <b val="true"/>
        <sz val="9"/>
        <color rgb="FFFFFFFF"/>
        <rFont val="Noto Sans CJK SC"/>
        <family val="2"/>
      </rPr>
      <t xml:space="preserve">천원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</si>
  <si>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환산평당가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천원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</si>
  <si>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산정 근거</t>
  </si>
  <si>
    <r>
      <rPr>
        <b val="true"/>
        <sz val="9"/>
        <color rgb="FFFFFFFF"/>
        <rFont val="Noto Sans CJK SC"/>
        <family val="2"/>
      </rPr>
      <t xml:space="preserve">현 월세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천원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</si>
  <si>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인상률</t>
  </si>
  <si>
    <t xml:space="preserve">법적 가능 경로</t>
  </si>
  <si>
    <t xml:space="preserve">실현 가능성</t>
  </si>
  <si>
    <r>
      <rPr>
        <sz val="10"/>
        <color rgb="FF0000FF"/>
        <rFont val="Noto Sans CJK SC"/>
        <family val="2"/>
      </rPr>
      <t xml:space="preserve">기준층의 </t>
    </r>
    <r>
      <rPr>
        <sz val="10"/>
        <color rgb="FF0000FF"/>
        <rFont val="Arial"/>
        <family val="0"/>
        <charset val="1"/>
      </rPr>
      <t xml:space="preserve">80%</t>
    </r>
  </si>
  <si>
    <t xml:space="preserve">신규</t>
  </si>
  <si>
    <r>
      <rPr>
        <sz val="10"/>
        <rFont val="Noto Sans CJK SC"/>
        <family val="2"/>
      </rPr>
      <t xml:space="preserve">자가 → 임대 전환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신규 계약</t>
    </r>
    <r>
      <rPr>
        <sz val="10"/>
        <rFont val="Arial"/>
        <family val="0"/>
        <charset val="1"/>
      </rPr>
      <t xml:space="preserve">)</t>
    </r>
  </si>
  <si>
    <t xml:space="preserve">높음</t>
  </si>
  <si>
    <r>
      <rPr>
        <sz val="10"/>
        <color rgb="FF0000FF"/>
        <rFont val="Arial"/>
        <family val="0"/>
        <charset val="1"/>
      </rPr>
      <t xml:space="preserve">1F </t>
    </r>
    <r>
      <rPr>
        <sz val="10"/>
        <color rgb="FF0000FF"/>
        <rFont val="Noto Sans CJK SC"/>
        <family val="2"/>
      </rPr>
      <t xml:space="preserve">약국</t>
    </r>
  </si>
  <si>
    <r>
      <rPr>
        <sz val="10"/>
        <color rgb="FF0000FF"/>
        <rFont val="Noto Sans CJK SC"/>
        <family val="2"/>
      </rPr>
      <t xml:space="preserve">기준층의 </t>
    </r>
    <r>
      <rPr>
        <sz val="10"/>
        <color rgb="FF0000FF"/>
        <rFont val="Arial"/>
        <family val="0"/>
        <charset val="1"/>
      </rPr>
      <t xml:space="preserve">2.5</t>
    </r>
    <r>
      <rPr>
        <sz val="10"/>
        <color rgb="FF0000FF"/>
        <rFont val="Noto Sans CJK SC"/>
        <family val="2"/>
      </rPr>
      <t xml:space="preserve">배</t>
    </r>
  </si>
  <si>
    <t xml:space="preserve">갱신권 소진 → 갱신 거절 후 재계약</t>
  </si>
  <si>
    <t xml:space="preserve">중간</t>
  </si>
  <si>
    <r>
      <rPr>
        <sz val="10"/>
        <color rgb="FF0000FF"/>
        <rFont val="Arial"/>
        <family val="0"/>
        <charset val="1"/>
      </rPr>
      <t xml:space="preserve">1F </t>
    </r>
    <r>
      <rPr>
        <sz val="10"/>
        <color rgb="FF0000FF"/>
        <rFont val="Noto Sans CJK SC"/>
        <family val="2"/>
      </rPr>
      <t xml:space="preserve">내과</t>
    </r>
  </si>
  <si>
    <r>
      <rPr>
        <sz val="10"/>
        <color rgb="FF0000FF"/>
        <rFont val="Noto Sans CJK SC"/>
        <family val="2"/>
      </rPr>
      <t xml:space="preserve">기준층의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배</t>
    </r>
  </si>
  <si>
    <r>
      <rPr>
        <sz val="10"/>
        <rFont val="Noto Sans CJK SC"/>
        <family val="2"/>
      </rPr>
      <t xml:space="preserve">갱신권 소진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환산보증금 초과 → 제한 없음</t>
    </r>
  </si>
  <si>
    <r>
      <rPr>
        <sz val="10"/>
        <color rgb="FF0000FF"/>
        <rFont val="Noto Sans CJK SC"/>
        <family val="2"/>
      </rPr>
      <t xml:space="preserve">기준층 동일 </t>
    </r>
    <r>
      <rPr>
        <sz val="10"/>
        <color rgb="FF0000FF"/>
        <rFont val="Arial"/>
        <family val="0"/>
        <charset val="1"/>
      </rPr>
      <t xml:space="preserve">(1F </t>
    </r>
    <r>
      <rPr>
        <sz val="10"/>
        <color rgb="FF0000FF"/>
        <rFont val="Noto Sans CJK SC"/>
        <family val="2"/>
      </rPr>
      <t xml:space="preserve">합산</t>
    </r>
    <r>
      <rPr>
        <sz val="10"/>
        <color rgb="FF0000FF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</si>
  <si>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1F </t>
    </r>
    <r>
      <rPr>
        <sz val="10"/>
        <rFont val="Noto Sans CJK SC"/>
        <family val="2"/>
      </rPr>
      <t xml:space="preserve">합산 계약</t>
    </r>
  </si>
  <si>
    <r>
      <rPr>
        <sz val="10"/>
        <color rgb="FF0000FF"/>
        <rFont val="Noto Sans CJK SC"/>
        <family val="2"/>
      </rPr>
      <t xml:space="preserve">기준층 </t>
    </r>
    <r>
      <rPr>
        <sz val="10"/>
        <color rgb="FF0000FF"/>
        <rFont val="Arial"/>
        <family val="0"/>
        <charset val="1"/>
      </rPr>
      <t xml:space="preserve">/ </t>
    </r>
    <r>
      <rPr>
        <sz val="10"/>
        <color rgb="FF0000FF"/>
        <rFont val="Noto Sans CJK SC"/>
        <family val="2"/>
      </rPr>
      <t xml:space="preserve">기준단가</t>
    </r>
  </si>
  <si>
    <r>
      <rPr>
        <sz val="10"/>
        <rFont val="Noto Sans CJK SC"/>
        <family val="2"/>
      </rPr>
      <t xml:space="preserve">전면 적용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갱신권 잔여 → </t>
    </r>
    <r>
      <rPr>
        <sz val="10"/>
        <rFont val="Arial"/>
        <family val="0"/>
        <charset val="1"/>
      </rPr>
      <t xml:space="preserve">5% </t>
    </r>
    <r>
      <rPr>
        <sz val="10"/>
        <rFont val="Noto Sans CJK SC"/>
        <family val="2"/>
      </rPr>
      <t xml:space="preserve">상한</t>
    </r>
  </si>
  <si>
    <r>
      <rPr>
        <sz val="10"/>
        <rFont val="Arial"/>
        <family val="0"/>
        <charset val="1"/>
      </rPr>
      <t xml:space="preserve">—(</t>
    </r>
    <r>
      <rPr>
        <sz val="10"/>
        <rFont val="Noto Sans CJK SC"/>
        <family val="2"/>
      </rPr>
      <t xml:space="preserve">동결</t>
    </r>
    <r>
      <rPr>
        <sz val="10"/>
        <rFont val="Arial"/>
        <family val="0"/>
        <charset val="1"/>
      </rPr>
      <t xml:space="preserve">)</t>
    </r>
  </si>
  <si>
    <r>
      <rPr>
        <sz val="10"/>
        <color rgb="FF0000FF"/>
        <rFont val="Arial"/>
        <family val="0"/>
        <charset val="1"/>
      </rPr>
      <t xml:space="preserve">4F </t>
    </r>
    <r>
      <rPr>
        <sz val="10"/>
        <color rgb="FF0000FF"/>
        <rFont val="Noto Sans CJK SC"/>
        <family val="2"/>
      </rPr>
      <t xml:space="preserve">와인</t>
    </r>
  </si>
  <si>
    <t xml:space="preserve">기준층 동일</t>
  </si>
  <si>
    <r>
      <rPr>
        <sz val="10"/>
        <rFont val="Noto Sans CJK SC"/>
        <family val="2"/>
      </rPr>
      <t xml:space="preserve">전면 적용 → </t>
    </r>
    <r>
      <rPr>
        <sz val="10"/>
        <rFont val="Arial"/>
        <family val="0"/>
        <charset val="1"/>
      </rPr>
      <t xml:space="preserve">5% </t>
    </r>
    <r>
      <rPr>
        <sz val="10"/>
        <rFont val="Noto Sans CJK SC"/>
        <family val="2"/>
      </rPr>
      <t xml:space="preserve">상한 초과</t>
    </r>
  </si>
  <si>
    <t xml:space="preserve">낮음</t>
  </si>
  <si>
    <r>
      <rPr>
        <sz val="10"/>
        <color rgb="FF0000FF"/>
        <rFont val="Arial"/>
        <family val="0"/>
        <charset val="1"/>
      </rPr>
      <t xml:space="preserve">4F </t>
    </r>
    <r>
      <rPr>
        <sz val="10"/>
        <color rgb="FF0000FF"/>
        <rFont val="Noto Sans CJK SC"/>
        <family val="2"/>
      </rPr>
      <t xml:space="preserve">자가</t>
    </r>
  </si>
  <si>
    <t xml:space="preserve">가정</t>
  </si>
  <si>
    <r>
      <rPr>
        <sz val="10"/>
        <rFont val="Noto Sans CJK SC"/>
        <family val="2"/>
      </rPr>
      <t xml:space="preserve">보증금 운용수익률 </t>
    </r>
    <r>
      <rPr>
        <sz val="10"/>
        <rFont val="Arial"/>
        <family val="0"/>
        <charset val="1"/>
      </rPr>
      <t xml:space="preserve">(NOC </t>
    </r>
    <r>
      <rPr>
        <sz val="10"/>
        <rFont val="Noto Sans CJK SC"/>
        <family val="2"/>
      </rPr>
      <t xml:space="preserve">환산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</si>
  <si>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매각가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천원</t>
    </r>
    <r>
      <rPr>
        <sz val="10"/>
        <rFont val="Arial"/>
        <family val="0"/>
        <charset val="1"/>
      </rPr>
      <t xml:space="preserve">)</t>
    </r>
  </si>
  <si>
    <t xml:space="preserve">수익률</t>
  </si>
  <si>
    <r>
      <rPr>
        <sz val="10"/>
        <rFont val="Noto Sans CJK SC"/>
        <family val="2"/>
      </rPr>
      <t xml:space="preserve">연 월세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실투자금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중개인형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</si>
  <si>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연 월세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매각가</t>
    </r>
  </si>
  <si>
    <r>
      <rPr>
        <sz val="10"/>
        <rFont val="Noto Sans CJK SC"/>
        <family val="2"/>
      </rPr>
      <t xml:space="preserve">연 </t>
    </r>
    <r>
      <rPr>
        <sz val="10"/>
        <rFont val="Arial"/>
        <family val="0"/>
        <charset val="1"/>
      </rPr>
      <t xml:space="preserve">NOC ÷ </t>
    </r>
    <r>
      <rPr>
        <sz val="10"/>
        <rFont val="Noto Sans CJK SC"/>
        <family val="2"/>
      </rPr>
      <t xml:space="preserve">매각가</t>
    </r>
  </si>
  <si>
    <r>
      <rPr>
        <sz val="9"/>
        <color rgb="FF8E6A20"/>
        <rFont val="Arial"/>
        <family val="0"/>
        <charset val="1"/>
      </rPr>
      <t xml:space="preserve">※ IM </t>
    </r>
    <r>
      <rPr>
        <sz val="9"/>
        <color rgb="FF8E6A20"/>
        <rFont val="Noto Sans CJK SC"/>
        <family val="2"/>
      </rPr>
      <t xml:space="preserve">원본 </t>
    </r>
    <r>
      <rPr>
        <sz val="9"/>
        <color rgb="FF8E6A20"/>
        <rFont val="Arial"/>
        <family val="0"/>
        <charset val="1"/>
      </rPr>
      <t xml:space="preserve">"</t>
    </r>
    <r>
      <rPr>
        <sz val="9"/>
        <color rgb="FF8E6A20"/>
        <rFont val="Noto Sans CJK SC"/>
        <family val="2"/>
      </rPr>
      <t xml:space="preserve">기대 수익률 연 </t>
    </r>
    <r>
      <rPr>
        <sz val="9"/>
        <color rgb="FF8E6A20"/>
        <rFont val="Arial"/>
        <family val="0"/>
        <charset val="1"/>
      </rPr>
      <t xml:space="preserve">3.1%"</t>
    </r>
    <r>
      <rPr>
        <sz val="9"/>
        <color rgb="FF8E6A20"/>
        <rFont val="Noto Sans CJK SC"/>
        <family val="2"/>
      </rPr>
      <t xml:space="preserve">는 첫 번째 방식</t>
    </r>
    <r>
      <rPr>
        <sz val="9"/>
        <color rgb="FF8E6A20"/>
        <rFont val="Arial"/>
        <family val="0"/>
        <charset val="1"/>
      </rPr>
      <t xml:space="preserve">(</t>
    </r>
    <r>
      <rPr>
        <sz val="9"/>
        <color rgb="FF8E6A20"/>
        <rFont val="Noto Sans CJK SC"/>
        <family val="2"/>
      </rPr>
      <t xml:space="preserve">연 월세 </t>
    </r>
    <r>
      <rPr>
        <sz val="9"/>
        <color rgb="FF8E6A20"/>
        <rFont val="Arial"/>
        <family val="0"/>
        <charset val="1"/>
      </rPr>
      <t xml:space="preserve">÷ </t>
    </r>
    <r>
      <rPr>
        <sz val="9"/>
        <color rgb="FF8E6A20"/>
        <rFont val="Noto Sans CJK SC"/>
        <family val="2"/>
      </rPr>
      <t xml:space="preserve">실투자금</t>
    </r>
    <r>
      <rPr>
        <sz val="9"/>
        <color rgb="FF8E6A20"/>
        <rFont val="Arial"/>
        <family val="0"/>
        <charset val="1"/>
      </rPr>
      <t xml:space="preserve">)</t>
    </r>
    <r>
      <rPr>
        <sz val="9"/>
        <color rgb="FF8E6A20"/>
        <rFont val="Noto Sans CJK SC"/>
        <family val="2"/>
      </rPr>
      <t xml:space="preserve">입니다</t>
    </r>
    <r>
      <rPr>
        <sz val="9"/>
        <color rgb="FF8E6A20"/>
        <rFont val="Arial"/>
        <family val="0"/>
        <charset val="1"/>
      </rPr>
      <t xml:space="preserve">.</t>
    </r>
  </si>
  <si>
    <t xml:space="preserve">인근 매물 현황</t>
  </si>
  <si>
    <r>
      <rPr>
        <sz val="9.5"/>
        <color rgb="FF7A8794"/>
        <rFont val="Noto Sans CJK SC"/>
        <family val="2"/>
      </rPr>
      <t xml:space="preserve">조사 기준</t>
    </r>
    <r>
      <rPr>
        <sz val="9.5"/>
        <color rgb="FF7A8794"/>
        <rFont val="Arial"/>
        <family val="0"/>
        <charset val="1"/>
      </rPr>
      <t xml:space="preserve">: </t>
    </r>
    <r>
      <rPr>
        <sz val="9.5"/>
        <color rgb="FF7A8794"/>
        <rFont val="Noto Sans CJK SC"/>
        <family val="2"/>
      </rPr>
      <t xml:space="preserve">토지 </t>
    </r>
    <r>
      <rPr>
        <sz val="9.5"/>
        <color rgb="FF7A8794"/>
        <rFont val="Arial"/>
        <family val="0"/>
        <charset val="1"/>
      </rPr>
      <t xml:space="preserve">100</t>
    </r>
    <r>
      <rPr>
        <sz val="9.5"/>
        <color rgb="FF7A8794"/>
        <rFont val="Noto Sans CJK SC"/>
        <family val="2"/>
      </rPr>
      <t xml:space="preserve">평 이상 </t>
    </r>
    <r>
      <rPr>
        <sz val="9.5"/>
        <color rgb="FF7A8794"/>
        <rFont val="Arial"/>
        <family val="0"/>
        <charset val="1"/>
      </rPr>
      <t xml:space="preserve">· </t>
    </r>
    <r>
      <rPr>
        <sz val="9.5"/>
        <color rgb="FF7A8794"/>
        <rFont val="Noto Sans CJK SC"/>
        <family val="2"/>
      </rPr>
      <t xml:space="preserve">도로변 </t>
    </r>
    <r>
      <rPr>
        <sz val="9.5"/>
        <color rgb="FF7A8794"/>
        <rFont val="Arial"/>
        <family val="0"/>
        <charset val="1"/>
      </rPr>
      <t xml:space="preserve">· </t>
    </r>
    <r>
      <rPr>
        <sz val="9.5"/>
        <color rgb="FF7A8794"/>
        <rFont val="Noto Sans CJK SC"/>
        <family val="2"/>
      </rPr>
      <t xml:space="preserve">건물 </t>
    </r>
    <r>
      <rPr>
        <sz val="9.5"/>
        <color rgb="FF7A8794"/>
        <rFont val="Arial"/>
        <family val="0"/>
        <charset val="1"/>
      </rPr>
      <t xml:space="preserve">200</t>
    </r>
    <r>
      <rPr>
        <sz val="9.5"/>
        <color rgb="FF7A8794"/>
        <rFont val="Noto Sans CJK SC"/>
        <family val="2"/>
      </rPr>
      <t xml:space="preserve">평 이상 </t>
    </r>
    <r>
      <rPr>
        <sz val="9.5"/>
        <color rgb="FF7A8794"/>
        <rFont val="Arial"/>
        <family val="0"/>
        <charset val="1"/>
      </rPr>
      <t xml:space="preserve">(</t>
    </r>
    <r>
      <rPr>
        <sz val="9.5"/>
        <color rgb="FF7A8794"/>
        <rFont val="Noto Sans CJK SC"/>
        <family val="2"/>
      </rPr>
      <t xml:space="preserve">유흥 제외</t>
    </r>
    <r>
      <rPr>
        <sz val="9.5"/>
        <color rgb="FF7A8794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</si>
  <si>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토지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평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</si>
  <si>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건물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평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</si>
  <si>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매물금액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천원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</si>
  <si>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토지 평당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천원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</si>
  <si>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비고</t>
  </si>
  <si>
    <r>
      <rPr>
        <sz val="10"/>
        <color rgb="FF0000FF"/>
        <rFont val="Noto Sans CJK SC"/>
        <family val="2"/>
      </rPr>
      <t xml:space="preserve">영등포</t>
    </r>
    <r>
      <rPr>
        <sz val="10"/>
        <color rgb="FF0000FF"/>
        <rFont val="Arial"/>
        <family val="0"/>
        <charset val="1"/>
      </rPr>
      <t xml:space="preserve">7</t>
    </r>
    <r>
      <rPr>
        <sz val="10"/>
        <color rgb="FF0000FF"/>
        <rFont val="Noto Sans CJK SC"/>
        <family val="2"/>
      </rPr>
      <t xml:space="preserve">가 </t>
    </r>
    <r>
      <rPr>
        <sz val="10"/>
        <color rgb="FF0000FF"/>
        <rFont val="Arial"/>
        <family val="0"/>
        <charset val="1"/>
      </rPr>
      <t xml:space="preserve">29-28</t>
    </r>
  </si>
  <si>
    <t xml:space="preserve">도로변</t>
  </si>
  <si>
    <r>
      <rPr>
        <sz val="10"/>
        <color rgb="FF0000FF"/>
        <rFont val="Noto Sans CJK SC"/>
        <family val="2"/>
      </rPr>
      <t xml:space="preserve">영등포</t>
    </r>
    <r>
      <rPr>
        <sz val="10"/>
        <color rgb="FF0000FF"/>
        <rFont val="Arial"/>
        <family val="0"/>
        <charset val="1"/>
      </rPr>
      <t xml:space="preserve">7</t>
    </r>
    <r>
      <rPr>
        <sz val="10"/>
        <color rgb="FF0000FF"/>
        <rFont val="Noto Sans CJK SC"/>
        <family val="2"/>
      </rPr>
      <t xml:space="preserve">가 </t>
    </r>
    <r>
      <rPr>
        <sz val="10"/>
        <color rgb="FF0000FF"/>
        <rFont val="Arial"/>
        <family val="0"/>
        <charset val="1"/>
      </rPr>
      <t xml:space="preserve">94-14</t>
    </r>
  </si>
  <si>
    <t xml:space="preserve">대형</t>
  </si>
  <si>
    <r>
      <rPr>
        <sz val="10"/>
        <color rgb="FF0000FF"/>
        <rFont val="Noto Sans CJK SC"/>
        <family val="2"/>
      </rPr>
      <t xml:space="preserve">당산동</t>
    </r>
    <r>
      <rPr>
        <sz val="10"/>
        <color rgb="FF0000FF"/>
        <rFont val="Arial"/>
        <family val="0"/>
        <charset val="1"/>
      </rPr>
      <t xml:space="preserve">5</t>
    </r>
    <r>
      <rPr>
        <sz val="10"/>
        <color rgb="FF0000FF"/>
        <rFont val="Noto Sans CJK SC"/>
        <family val="2"/>
      </rPr>
      <t xml:space="preserve">가 </t>
    </r>
    <r>
      <rPr>
        <sz val="10"/>
        <color rgb="FF0000FF"/>
        <rFont val="Arial"/>
        <family val="0"/>
        <charset val="1"/>
      </rPr>
      <t xml:space="preserve">11-30</t>
    </r>
  </si>
  <si>
    <t xml:space="preserve">인접</t>
  </si>
  <si>
    <r>
      <rPr>
        <sz val="10"/>
        <color rgb="FF0000FF"/>
        <rFont val="Noto Sans CJK SC"/>
        <family val="2"/>
      </rPr>
      <t xml:space="preserve">영등포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가 </t>
    </r>
    <r>
      <rPr>
        <sz val="10"/>
        <color rgb="FF0000FF"/>
        <rFont val="Arial"/>
        <family val="0"/>
        <charset val="1"/>
      </rPr>
      <t xml:space="preserve">1</t>
    </r>
  </si>
  <si>
    <t xml:space="preserve">본 물건</t>
  </si>
  <si>
    <t xml:space="preserve">가격 경쟁력</t>
  </si>
  <si>
    <t xml:space="preserve">시세 밴드</t>
  </si>
  <si>
    <r>
      <rPr>
        <b val="true"/>
        <sz val="9"/>
        <color rgb="FFFFFFFF"/>
        <rFont val="Noto Sans CJK SC"/>
        <family val="2"/>
      </rPr>
      <t xml:space="preserve">시세 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백만원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평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</si>
  <si>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입지 </t>
    </r>
    <r>
      <rPr>
        <sz val="10"/>
        <rFont val="Arial"/>
        <family val="0"/>
        <charset val="1"/>
      </rPr>
      <t xml:space="preserve">&amp; </t>
    </r>
    <r>
      <rPr>
        <sz val="10"/>
        <rFont val="Noto Sans CJK SC"/>
        <family val="2"/>
      </rPr>
      <t xml:space="preserve">부지 양호</t>
    </r>
  </si>
  <si>
    <t xml:space="preserve">130 ~ 160</t>
  </si>
  <si>
    <r>
      <rPr>
        <sz val="10"/>
        <rFont val="Noto Sans CJK SC"/>
        <family val="2"/>
      </rPr>
      <t xml:space="preserve">입지 </t>
    </r>
    <r>
      <rPr>
        <sz val="10"/>
        <rFont val="Arial"/>
        <family val="0"/>
        <charset val="1"/>
      </rPr>
      <t xml:space="preserve">or </t>
    </r>
    <r>
      <rPr>
        <sz val="10"/>
        <rFont val="Noto Sans CJK SC"/>
        <family val="2"/>
      </rPr>
      <t xml:space="preserve">부지 불리</t>
    </r>
  </si>
  <si>
    <t xml:space="preserve">85 ~ 100</t>
  </si>
  <si>
    <t xml:space="preserve">대상 물건</t>
  </si>
  <si>
    <t xml:space="preserve">75</t>
  </si>
  <si>
    <t xml:space="preserve">층별구분등기 및 권리관계</t>
  </si>
  <si>
    <r>
      <rPr>
        <sz val="9.5"/>
        <color rgb="FF7A8794"/>
        <rFont val="Arial"/>
        <family val="0"/>
        <charset val="1"/>
      </rPr>
      <t xml:space="preserve">[</t>
    </r>
    <r>
      <rPr>
        <sz val="9.5"/>
        <color rgb="FF7A8794"/>
        <rFont val="Noto Sans CJK SC"/>
        <family val="2"/>
      </rPr>
      <t xml:space="preserve">가상 증강 </t>
    </r>
    <r>
      <rPr>
        <sz val="9.5"/>
        <color rgb="FF7A8794"/>
        <rFont val="Arial"/>
        <family val="0"/>
        <charset val="1"/>
      </rPr>
      <t xml:space="preserve">· </t>
    </r>
    <r>
      <rPr>
        <sz val="9.5"/>
        <color rgb="FF7A8794"/>
        <rFont val="Noto Sans CJK SC"/>
        <family val="2"/>
      </rPr>
      <t xml:space="preserve">테스트용</t>
    </r>
    <r>
      <rPr>
        <sz val="9.5"/>
        <color rgb="FF7A8794"/>
        <rFont val="Arial"/>
        <family val="0"/>
        <charset val="1"/>
      </rPr>
      <t xml:space="preserve">]</t>
    </r>
  </si>
  <si>
    <t xml:space="preserve">호</t>
  </si>
  <si>
    <r>
      <rPr>
        <b val="true"/>
        <sz val="9"/>
        <color rgb="FFFFFFFF"/>
        <rFont val="Noto Sans CJK SC"/>
        <family val="2"/>
      </rPr>
      <t xml:space="preserve">전유면적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㎡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</si>
  <si>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대지권 지분</t>
  </si>
  <si>
    <t xml:space="preserve">소유자</t>
  </si>
  <si>
    <t xml:space="preserve">취득일</t>
  </si>
  <si>
    <r>
      <rPr>
        <b val="true"/>
        <sz val="9"/>
        <color rgb="FFFFFFFF"/>
        <rFont val="Noto Sans CJK SC"/>
        <family val="2"/>
      </rPr>
      <t xml:space="preserve">근저당 채권최고액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천원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</si>
  <si>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0.0680</t>
  </si>
  <si>
    <t xml:space="preserve">신현재</t>
  </si>
  <si>
    <t xml:space="preserve">2002-11</t>
  </si>
  <si>
    <r>
      <rPr>
        <sz val="10"/>
        <color rgb="FF0000FF"/>
        <rFont val="Noto Sans CJK SC"/>
        <family val="2"/>
      </rPr>
      <t xml:space="preserve">공동담보 </t>
    </r>
    <r>
      <rPr>
        <sz val="10"/>
        <color rgb="FF0000FF"/>
        <rFont val="Arial"/>
        <family val="0"/>
        <charset val="1"/>
      </rPr>
      <t xml:space="preserve">A (101·102)</t>
    </r>
  </si>
  <si>
    <t xml:space="preserve">0.0916</t>
  </si>
  <si>
    <r>
      <rPr>
        <sz val="10"/>
        <color rgb="FF0000FF"/>
        <rFont val="Noto Sans CJK SC"/>
        <family val="2"/>
      </rPr>
      <t xml:space="preserve">공동담보 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에 포함</t>
    </r>
  </si>
  <si>
    <t xml:space="preserve">0.2187</t>
  </si>
  <si>
    <t xml:space="preserve">신현우</t>
  </si>
  <si>
    <r>
      <rPr>
        <sz val="10"/>
        <color rgb="FF0000FF"/>
        <rFont val="Noto Sans CJK SC"/>
        <family val="2"/>
      </rPr>
      <t xml:space="preserve">공동담보 </t>
    </r>
    <r>
      <rPr>
        <sz val="10"/>
        <color rgb="FF0000FF"/>
        <rFont val="Arial"/>
        <family val="0"/>
        <charset val="1"/>
      </rPr>
      <t xml:space="preserve">B (301·401)</t>
    </r>
  </si>
  <si>
    <t xml:space="preserve">0.1466</t>
  </si>
  <si>
    <r>
      <rPr>
        <sz val="10"/>
        <color rgb="FF0000FF"/>
        <rFont val="Noto Sans CJK SC"/>
        <family val="2"/>
      </rPr>
      <t xml:space="preserve">공동담보 </t>
    </r>
    <r>
      <rPr>
        <sz val="10"/>
        <color rgb="FF0000FF"/>
        <rFont val="Arial"/>
        <family val="0"/>
        <charset val="1"/>
      </rPr>
      <t xml:space="preserve">B</t>
    </r>
    <r>
      <rPr>
        <sz val="10"/>
        <color rgb="FF0000FF"/>
        <rFont val="Noto Sans CJK SC"/>
        <family val="2"/>
      </rPr>
      <t xml:space="preserve">에 포함</t>
    </r>
  </si>
  <si>
    <t xml:space="preserve">0.0720</t>
  </si>
  <si>
    <t xml:space="preserve">0.1594</t>
  </si>
  <si>
    <t xml:space="preserve">0.0250</t>
  </si>
  <si>
    <r>
      <rPr>
        <sz val="10"/>
        <color rgb="FF0000FF"/>
        <rFont val="Noto Sans CJK SC"/>
        <family val="2"/>
      </rPr>
      <t xml:space="preserve">신현재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신현우</t>
    </r>
  </si>
  <si>
    <r>
      <rPr>
        <sz val="10"/>
        <color rgb="FF0000FF"/>
        <rFont val="Noto Sans CJK SC"/>
        <family val="2"/>
      </rPr>
      <t xml:space="preserve">공유 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각 </t>
    </r>
    <r>
      <rPr>
        <sz val="10"/>
        <color rgb="FF0000FF"/>
        <rFont val="Arial"/>
        <family val="0"/>
        <charset val="1"/>
      </rPr>
      <t xml:space="preserve">1/2)</t>
    </r>
  </si>
  <si>
    <t xml:space="preserve">1.0000</t>
  </si>
  <si>
    <r>
      <rPr>
        <sz val="9"/>
        <color rgb="FFA33A3D"/>
        <rFont val="Noto Sans CJK SC"/>
        <family val="2"/>
      </rPr>
      <t xml:space="preserve">※ 층별구분등기 물건입니다</t>
    </r>
    <r>
      <rPr>
        <sz val="9"/>
        <color rgb="FFA33A3D"/>
        <rFont val="Arial"/>
        <family val="0"/>
        <charset val="1"/>
      </rPr>
      <t xml:space="preserve">. </t>
    </r>
    <r>
      <rPr>
        <sz val="9"/>
        <color rgb="FFA33A3D"/>
        <rFont val="Noto Sans CJK SC"/>
        <family val="2"/>
      </rPr>
      <t xml:space="preserve">전체 매각에는 공유자 전원</t>
    </r>
    <r>
      <rPr>
        <sz val="9"/>
        <color rgb="FFA33A3D"/>
        <rFont val="Arial"/>
        <family val="0"/>
        <charset val="1"/>
      </rPr>
      <t xml:space="preserve">(</t>
    </r>
    <r>
      <rPr>
        <sz val="9"/>
        <color rgb="FFA33A3D"/>
        <rFont val="Noto Sans CJK SC"/>
        <family val="2"/>
      </rPr>
      <t xml:space="preserve">형제 </t>
    </r>
    <r>
      <rPr>
        <sz val="9"/>
        <color rgb="FFA33A3D"/>
        <rFont val="Arial"/>
        <family val="0"/>
        <charset val="1"/>
      </rPr>
      <t xml:space="preserve">2</t>
    </r>
    <r>
      <rPr>
        <sz val="9"/>
        <color rgb="FFA33A3D"/>
        <rFont val="Noto Sans CJK SC"/>
        <family val="2"/>
      </rPr>
      <t xml:space="preserve">인</t>
    </r>
    <r>
      <rPr>
        <sz val="9"/>
        <color rgb="FFA33A3D"/>
        <rFont val="Arial"/>
        <family val="0"/>
        <charset val="1"/>
      </rPr>
      <t xml:space="preserve">)</t>
    </r>
    <r>
      <rPr>
        <sz val="9"/>
        <color rgb="FFA33A3D"/>
        <rFont val="Noto Sans CJK SC"/>
        <family val="2"/>
      </rPr>
      <t xml:space="preserve">의 동의가 필요하며</t>
    </r>
    <r>
      <rPr>
        <sz val="9"/>
        <color rgb="FFA33A3D"/>
        <rFont val="Arial"/>
        <family val="0"/>
        <charset val="1"/>
      </rPr>
      <t xml:space="preserve">, </t>
    </r>
    <r>
      <rPr>
        <sz val="9"/>
        <color rgb="FFA33A3D"/>
        <rFont val="Noto Sans CJK SC"/>
        <family val="2"/>
      </rPr>
      <t xml:space="preserve">일부 호실만 분할 매각도 가능합니다</t>
    </r>
    <r>
      <rPr>
        <sz val="9"/>
        <color rgb="FFA33A3D"/>
        <rFont val="Arial"/>
        <family val="0"/>
        <charset val="1"/>
      </rPr>
      <t xml:space="preserve">.</t>
    </r>
  </si>
  <si>
    <r>
      <rPr>
        <sz val="9"/>
        <color rgb="FF6D4AA8"/>
        <rFont val="Noto Sans CJK SC"/>
        <family val="2"/>
      </rPr>
      <t xml:space="preserve">※ 공동담보는 같은 채권에 여러 호실이 잡힌 것이므로 합산하지 않습니다</t>
    </r>
    <r>
      <rPr>
        <sz val="9"/>
        <color rgb="FF6D4AA8"/>
        <rFont val="Arial"/>
        <family val="0"/>
        <charset val="1"/>
      </rPr>
      <t xml:space="preserve">. </t>
    </r>
    <r>
      <rPr>
        <sz val="9"/>
        <color rgb="FF6D4AA8"/>
        <rFont val="Noto Sans CJK SC"/>
        <family val="2"/>
      </rPr>
      <t xml:space="preserve">채권최고액 합계 </t>
    </r>
    <r>
      <rPr>
        <sz val="9"/>
        <color rgb="FF6D4AA8"/>
        <rFont val="Arial"/>
        <family val="0"/>
        <charset val="1"/>
      </rPr>
      <t xml:space="preserve">16</t>
    </r>
    <r>
      <rPr>
        <sz val="9"/>
        <color rgb="FF6D4AA8"/>
        <rFont val="Noto Sans CJK SC"/>
        <family val="2"/>
      </rPr>
      <t xml:space="preserve">억</t>
    </r>
    <r>
      <rPr>
        <sz val="9"/>
        <color rgb="FF6D4AA8"/>
        <rFont val="Arial"/>
        <family val="0"/>
        <charset val="1"/>
      </rPr>
      <t xml:space="preserve">, </t>
    </r>
    <r>
      <rPr>
        <sz val="9"/>
        <color rgb="FF6D4AA8"/>
        <rFont val="Noto Sans CJK SC"/>
        <family val="2"/>
      </rPr>
      <t xml:space="preserve">실 대출잔액은 매도인 고지 약 </t>
    </r>
    <r>
      <rPr>
        <sz val="9"/>
        <color rgb="FF6D4AA8"/>
        <rFont val="Arial"/>
        <family val="0"/>
        <charset val="1"/>
      </rPr>
      <t xml:space="preserve">13</t>
    </r>
    <r>
      <rPr>
        <sz val="9"/>
        <color rgb="FF6D4AA8"/>
        <rFont val="Noto Sans CJK SC"/>
        <family val="2"/>
      </rPr>
      <t xml:space="preserve">억 — 잔액증명 확인 필요</t>
    </r>
    <r>
      <rPr>
        <sz val="9"/>
        <color rgb="FF6D4AA8"/>
        <rFont val="Arial"/>
        <family val="0"/>
        <charset val="1"/>
      </rPr>
      <t xml:space="preserve">.</t>
    </r>
  </si>
  <si>
    <r>
      <rPr>
        <sz val="9"/>
        <color rgb="FF7A8794"/>
        <rFont val="Noto Sans CJK SC"/>
        <family val="2"/>
      </rPr>
      <t xml:space="preserve">※ 소유자</t>
    </r>
    <r>
      <rPr>
        <sz val="9"/>
        <color rgb="FF7A8794"/>
        <rFont val="Arial"/>
        <family val="0"/>
        <charset val="1"/>
      </rPr>
      <t xml:space="preserve">·</t>
    </r>
    <r>
      <rPr>
        <sz val="9"/>
        <color rgb="FF7A8794"/>
        <rFont val="Noto Sans CJK SC"/>
        <family val="2"/>
      </rPr>
      <t xml:space="preserve">지분</t>
    </r>
    <r>
      <rPr>
        <sz val="9"/>
        <color rgb="FF7A8794"/>
        <rFont val="Arial"/>
        <family val="0"/>
        <charset val="1"/>
      </rPr>
      <t xml:space="preserve">·</t>
    </r>
    <r>
      <rPr>
        <sz val="9"/>
        <color rgb="FF7A8794"/>
        <rFont val="Noto Sans CJK SC"/>
        <family val="2"/>
      </rPr>
      <t xml:space="preserve">근저당은 전부 가상 증강입니다</t>
    </r>
    <r>
      <rPr>
        <sz val="9"/>
        <color rgb="FF7A8794"/>
        <rFont val="Arial"/>
        <family val="0"/>
        <charset val="1"/>
      </rPr>
      <t xml:space="preserve">. </t>
    </r>
    <r>
      <rPr>
        <sz val="9"/>
        <color rgb="FF7A8794"/>
        <rFont val="Noto Sans CJK SC"/>
        <family val="2"/>
      </rPr>
      <t xml:space="preserve">실제 등기부로 대체해야 합니다</t>
    </r>
    <r>
      <rPr>
        <sz val="9"/>
        <color rgb="FF7A8794"/>
        <rFont val="Arial"/>
        <family val="0"/>
        <charset val="1"/>
      </rPr>
      <t xml:space="preserve">.</t>
    </r>
  </si>
  <si>
    <t xml:space="preserve">취득 부대비용</t>
  </si>
  <si>
    <r>
      <rPr>
        <sz val="9.5"/>
        <color rgb="FF7A8794"/>
        <rFont val="Arial"/>
        <family val="0"/>
        <charset val="1"/>
      </rPr>
      <t xml:space="preserve">[</t>
    </r>
    <r>
      <rPr>
        <sz val="9.5"/>
        <color rgb="FF7A8794"/>
        <rFont val="Noto Sans CJK SC"/>
        <family val="2"/>
      </rPr>
      <t xml:space="preserve">가상 증강 </t>
    </r>
    <r>
      <rPr>
        <sz val="9.5"/>
        <color rgb="FF7A8794"/>
        <rFont val="Arial"/>
        <family val="0"/>
        <charset val="1"/>
      </rPr>
      <t xml:space="preserve">· </t>
    </r>
    <r>
      <rPr>
        <sz val="9.5"/>
        <color rgb="FF7A8794"/>
        <rFont val="Noto Sans CJK SC"/>
        <family val="2"/>
      </rPr>
      <t xml:space="preserve">표준 요율</t>
    </r>
    <r>
      <rPr>
        <sz val="9.5"/>
        <color rgb="FF7A8794"/>
        <rFont val="Arial"/>
        <family val="0"/>
        <charset val="1"/>
      </rPr>
      <t xml:space="preserve">]</t>
    </r>
  </si>
  <si>
    <r>
      <rPr>
        <b val="true"/>
        <sz val="9"/>
        <color rgb="FFFFFFFF"/>
        <rFont val="Noto Sans CJK SC"/>
        <family val="2"/>
      </rPr>
      <t xml:space="preserve">금액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천원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</si>
  <si>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매각가</t>
  </si>
  <si>
    <r>
      <rPr>
        <sz val="10"/>
        <rFont val="Arial"/>
        <family val="0"/>
        <charset val="1"/>
      </rPr>
      <t xml:space="preserve">IM </t>
    </r>
    <r>
      <rPr>
        <sz val="10"/>
        <rFont val="Noto Sans CJK SC"/>
        <family val="2"/>
      </rPr>
      <t xml:space="preserve">기재</t>
    </r>
  </si>
  <si>
    <r>
      <rPr>
        <sz val="10"/>
        <rFont val="Noto Sans CJK SC"/>
        <family val="2"/>
      </rPr>
      <t xml:space="preserve">취득세 </t>
    </r>
    <r>
      <rPr>
        <sz val="10"/>
        <rFont val="Arial"/>
        <family val="0"/>
        <charset val="1"/>
      </rPr>
      <t xml:space="preserve">(4.6%)</t>
    </r>
  </si>
  <si>
    <t xml:space="preserve">지방세법 표준세율</t>
  </si>
  <si>
    <r>
      <rPr>
        <sz val="10"/>
        <rFont val="Noto Sans CJK SC"/>
        <family val="2"/>
      </rPr>
      <t xml:space="preserve">중개보수 </t>
    </r>
    <r>
      <rPr>
        <sz val="10"/>
        <rFont val="Arial"/>
        <family val="0"/>
        <charset val="1"/>
      </rPr>
      <t xml:space="preserve">(0.9% </t>
    </r>
    <r>
      <rPr>
        <sz val="10"/>
        <rFont val="Noto Sans CJK SC"/>
        <family val="2"/>
      </rPr>
      <t xml:space="preserve">이내</t>
    </r>
    <r>
      <rPr>
        <sz val="10"/>
        <rFont val="Arial"/>
        <family val="0"/>
        <charset val="1"/>
      </rPr>
      <t xml:space="preserve">)</t>
    </r>
  </si>
  <si>
    <t xml:space="preserve">공인중개사법 상한 내 협의</t>
  </si>
  <si>
    <r>
      <rPr>
        <sz val="10"/>
        <rFont val="Noto Sans CJK SC"/>
        <family val="2"/>
      </rPr>
      <t xml:space="preserve">등록면허세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법무비</t>
    </r>
  </si>
  <si>
    <t xml:space="preserve">추정</t>
  </si>
  <si>
    <r>
      <rPr>
        <sz val="10"/>
        <rFont val="Noto Sans CJK SC"/>
        <family val="2"/>
      </rPr>
      <t xml:space="preserve">감정평가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실사비</t>
    </r>
  </si>
  <si>
    <t xml:space="preserve">총취득원가</t>
  </si>
  <si>
    <r>
      <rPr>
        <sz val="10"/>
        <rFont val="Noto Sans CJK SC"/>
        <family val="2"/>
      </rPr>
      <t xml:space="preserve">회계사형 </t>
    </r>
    <r>
      <rPr>
        <sz val="10"/>
        <rFont val="Arial"/>
        <family val="0"/>
        <charset val="1"/>
      </rPr>
      <t xml:space="preserve">Cap Rate</t>
    </r>
    <r>
      <rPr>
        <sz val="10"/>
        <rFont val="Noto Sans CJK SC"/>
        <family val="2"/>
      </rPr>
      <t xml:space="preserve">의 분모</t>
    </r>
  </si>
  <si>
    <r>
      <rPr>
        <b val="true"/>
        <sz val="11"/>
        <rFont val="Arial"/>
        <family val="0"/>
        <charset val="1"/>
      </rPr>
      <t xml:space="preserve">Cap Rate 4</t>
    </r>
    <r>
      <rPr>
        <b val="true"/>
        <sz val="11"/>
        <rFont val="Noto Sans CJK SC"/>
        <family val="2"/>
      </rPr>
      <t xml:space="preserve">기준</t>
    </r>
  </si>
  <si>
    <t xml:space="preserve">기준</t>
  </si>
  <si>
    <t xml:space="preserve">산식</t>
  </si>
  <si>
    <t xml:space="preserve">값</t>
  </si>
  <si>
    <r>
      <rPr>
        <b val="true"/>
        <sz val="10"/>
        <rFont val="Noto Sans CJK SC"/>
        <family val="2"/>
      </rPr>
      <t xml:space="preserve">중개인형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실투자금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</si>
  <si>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연 월세 </t>
    </r>
    <r>
      <rPr>
        <sz val="10"/>
        <rFont val="Arial"/>
        <family val="0"/>
        <charset val="1"/>
      </rPr>
      <t xml:space="preserve">÷ (</t>
    </r>
    <r>
      <rPr>
        <sz val="10"/>
        <rFont val="Noto Sans CJK SC"/>
        <family val="2"/>
      </rPr>
      <t xml:space="preserve">매각가 − 보증금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</si>
  <si>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중개인형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매각가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</si>
  <si>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표준형 </t>
    </r>
    <r>
      <rPr>
        <b val="true"/>
        <sz val="10"/>
        <rFont val="Arial"/>
        <family val="0"/>
        <charset val="1"/>
      </rPr>
      <t xml:space="preserve">(NOI/</t>
    </r>
    <r>
      <rPr>
        <b val="true"/>
        <sz val="10"/>
        <rFont val="Noto Sans CJK SC"/>
        <family val="2"/>
      </rPr>
      <t xml:space="preserve">매각가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</si>
  <si>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NOI(</t>
    </r>
    <r>
      <rPr>
        <sz val="10"/>
        <rFont val="Noto Sans CJK SC"/>
        <family val="2"/>
      </rPr>
      <t xml:space="preserve">경비 </t>
    </r>
    <r>
      <rPr>
        <sz val="10"/>
        <rFont val="Arial"/>
        <family val="0"/>
        <charset val="1"/>
      </rPr>
      <t xml:space="preserve">22% </t>
    </r>
    <r>
      <rPr>
        <sz val="10"/>
        <rFont val="Noto Sans CJK SC"/>
        <family val="2"/>
      </rPr>
      <t xml:space="preserve">가정</t>
    </r>
    <r>
      <rPr>
        <sz val="10"/>
        <rFont val="Arial"/>
        <family val="0"/>
        <charset val="1"/>
      </rPr>
      <t xml:space="preserve">) ÷ </t>
    </r>
    <r>
      <rPr>
        <sz val="10"/>
        <rFont val="Noto Sans CJK SC"/>
        <family val="2"/>
      </rPr>
      <t xml:space="preserve">매각가</t>
    </r>
  </si>
  <si>
    <r>
      <rPr>
        <b val="true"/>
        <sz val="10"/>
        <rFont val="Noto Sans CJK SC"/>
        <family val="2"/>
      </rPr>
      <t xml:space="preserve">회계사형 </t>
    </r>
    <r>
      <rPr>
        <b val="true"/>
        <sz val="10"/>
        <rFont val="Arial"/>
        <family val="0"/>
        <charset val="1"/>
      </rPr>
      <t xml:space="preserve">(NOI/</t>
    </r>
    <r>
      <rPr>
        <b val="true"/>
        <sz val="10"/>
        <rFont val="Noto Sans CJK SC"/>
        <family val="2"/>
      </rPr>
      <t xml:space="preserve">총취득원가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</si>
  <si>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NOI ÷ </t>
    </r>
    <r>
      <rPr>
        <sz val="10"/>
        <rFont val="Noto Sans CJK SC"/>
        <family val="2"/>
      </rPr>
      <t xml:space="preserve">총취득원가</t>
    </r>
  </si>
  <si>
    <r>
      <rPr>
        <sz val="9"/>
        <color rgb="FF7A8794"/>
        <rFont val="Noto Sans CJK SC"/>
        <family val="2"/>
      </rPr>
      <t xml:space="preserve">※ 임대료 현실화 완료</t>
    </r>
    <r>
      <rPr>
        <sz val="9"/>
        <color rgb="FF7A8794"/>
        <rFont val="Arial"/>
        <family val="0"/>
        <charset val="1"/>
      </rPr>
      <t xml:space="preserve">(</t>
    </r>
    <r>
      <rPr>
        <sz val="9"/>
        <color rgb="FF7A8794"/>
        <rFont val="Noto Sans CJK SC"/>
        <family val="2"/>
      </rPr>
      <t xml:space="preserve">월 </t>
    </r>
    <r>
      <rPr>
        <sz val="9"/>
        <color rgb="FF7A8794"/>
        <rFont val="Arial"/>
        <family val="0"/>
        <charset val="1"/>
      </rPr>
      <t xml:space="preserve">28,670</t>
    </r>
    <r>
      <rPr>
        <sz val="9"/>
        <color rgb="FF7A8794"/>
        <rFont val="Noto Sans CJK SC"/>
        <family val="2"/>
      </rPr>
      <t xml:space="preserve">천원</t>
    </r>
    <r>
      <rPr>
        <sz val="9"/>
        <color rgb="FF7A8794"/>
        <rFont val="Arial"/>
        <family val="0"/>
        <charset val="1"/>
      </rPr>
      <t xml:space="preserve">) </t>
    </r>
    <r>
      <rPr>
        <sz val="9"/>
        <color rgb="FF7A8794"/>
        <rFont val="Noto Sans CJK SC"/>
        <family val="2"/>
      </rPr>
      <t xml:space="preserve">후 기준입니다</t>
    </r>
    <r>
      <rPr>
        <sz val="9"/>
        <color rgb="FF7A8794"/>
        <rFont val="Arial"/>
        <family val="0"/>
        <charset val="1"/>
      </rPr>
      <t xml:space="preserve">. </t>
    </r>
    <r>
      <rPr>
        <sz val="9"/>
        <color rgb="FF7A8794"/>
        <rFont val="Noto Sans CJK SC"/>
        <family val="2"/>
      </rPr>
      <t xml:space="preserve">현 상태 기준은 </t>
    </r>
    <r>
      <rPr>
        <sz val="9"/>
        <color rgb="FF7A8794"/>
        <rFont val="Arial"/>
        <family val="0"/>
        <charset val="1"/>
      </rPr>
      <t xml:space="preserve">02_</t>
    </r>
    <r>
      <rPr>
        <sz val="9"/>
        <color rgb="FF7A8794"/>
        <rFont val="Noto Sans CJK SC"/>
        <family val="2"/>
      </rPr>
      <t xml:space="preserve">현재임대차 참조</t>
    </r>
    <r>
      <rPr>
        <sz val="9"/>
        <color rgb="FF7A8794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</si>
</sst>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"/>
    <numFmt numFmtId="166" formatCode="#,##0.0"/>
    <numFmt numFmtId="167" formatCode="#,##0"/>
    <numFmt numFmtId="168" formatCode="0.0"/>
    <numFmt numFmtId="169" formatCode="0.00"/>
    <numFmt numFmtId="170" formatCode="0.0%"/>
    <numFmt numFmtId="171" formatCode="0.00%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Noto Sans CJK SC"/>
      <family val="2"/>
    </font>
    <font>
      <sz val="9.5"/>
      <color rgb="FF7A8794"/>
      <name val="Arial"/>
      <family val="0"/>
      <charset val="1"/>
    </font>
    <font>
      <sz val="9.5"/>
      <color rgb="FF7A8794"/>
      <name val="Noto Sans CJK SC"/>
      <family val="2"/>
    </font>
    <font>
      <b val="true"/>
      <sz val="11"/>
      <name val="Noto Sans CJK SC"/>
      <family val="2"/>
    </font>
    <font>
      <sz val="10"/>
      <color rgb="FF0000FF"/>
      <name val="Noto Sans CJK SC"/>
      <family val="2"/>
    </font>
    <font>
      <sz val="10"/>
      <color rgb="FF0000FF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  <font>
      <b val="true"/>
      <sz val="10"/>
      <color rgb="FFA33A3D"/>
      <name val="Noto Sans CJK SC"/>
      <family val="2"/>
    </font>
    <font>
      <b val="true"/>
      <sz val="10"/>
      <color rgb="FFA33A3D"/>
      <name val="Arial"/>
      <family val="0"/>
      <charset val="1"/>
    </font>
    <font>
      <b val="true"/>
      <sz val="10"/>
      <color rgb="FF7A8794"/>
      <name val="Noto Sans CJK SC"/>
      <family val="2"/>
    </font>
    <font>
      <b val="true"/>
      <sz val="10"/>
      <color rgb="FF7A8794"/>
      <name val="Arial"/>
      <family val="0"/>
      <charset val="1"/>
    </font>
    <font>
      <b val="true"/>
      <sz val="9"/>
      <color rgb="FFFFFFFF"/>
      <name val="Noto Sans CJK SC"/>
      <family val="2"/>
    </font>
    <font>
      <sz val="9"/>
      <color rgb="FFA33A3D"/>
      <name val="Arial"/>
      <family val="0"/>
      <charset val="1"/>
    </font>
    <font>
      <sz val="9"/>
      <color rgb="FFA33A3D"/>
      <name val="Noto Sans CJK SC"/>
      <family val="2"/>
    </font>
    <font>
      <sz val="9"/>
      <color rgb="FF8E6A20"/>
      <name val="Noto Sans CJK SC"/>
      <family val="2"/>
    </font>
    <font>
      <sz val="9"/>
      <color rgb="FF8E6A2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7A8794"/>
      <name val="Noto Sans CJK SC"/>
      <family val="2"/>
    </font>
    <font>
      <sz val="9"/>
      <color rgb="FF7A8794"/>
      <name val="Arial"/>
      <family val="0"/>
      <charset val="1"/>
    </font>
    <font>
      <sz val="9"/>
      <color rgb="FF6D4AA8"/>
      <name val="Noto Sans CJK SC"/>
      <family val="2"/>
    </font>
    <font>
      <sz val="9"/>
      <color rgb="FF6D4AA8"/>
      <name val="Arial"/>
      <family val="0"/>
      <charset val="1"/>
    </font>
    <font>
      <b val="true"/>
      <sz val="1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  <fill>
      <patternFill patternType="solid">
        <fgColor rgb="FFE7F0EA"/>
        <bgColor rgb="FFF6E9E9"/>
      </patternFill>
    </fill>
    <fill>
      <patternFill patternType="solid">
        <fgColor rgb="FFF7EFDC"/>
        <bgColor rgb="FFF6E9E9"/>
      </patternFill>
    </fill>
    <fill>
      <patternFill patternType="solid">
        <fgColor rgb="FFF6E9E9"/>
        <bgColor rgb="FFF7EFDC"/>
      </patternFill>
    </fill>
    <fill>
      <patternFill patternType="solid">
        <fgColor rgb="FFF5F7F9"/>
        <bgColor rgb="FFFBF6EC"/>
      </patternFill>
    </fill>
    <fill>
      <patternFill patternType="solid">
        <fgColor rgb="FFFBF6EC"/>
        <bgColor rgb="FFF5F7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FE5"/>
      </left>
      <right style="thin">
        <color rgb="FFD9DFE5"/>
      </right>
      <top style="thin">
        <color rgb="FFD9DFE5"/>
      </top>
      <bottom style="thin">
        <color rgb="FFD9DF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E6A20"/>
      <rgbColor rgb="FF800080"/>
      <rgbColor rgb="FF008080"/>
      <rgbColor rgb="FFC0C0C0"/>
      <rgbColor rgb="FF7A8794"/>
      <rgbColor rgb="FF9999FF"/>
      <rgbColor rgb="FFA33A3D"/>
      <rgbColor rgb="FFFBF6EC"/>
      <rgbColor rgb="FFE7F0EA"/>
      <rgbColor rgb="FF660066"/>
      <rgbColor rgb="FFFF8080"/>
      <rgbColor rgb="FF0066CC"/>
      <rgbColor rgb="FFD9DF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9"/>
      <rgbColor rgb="FFF6E9E9"/>
      <rgbColor rgb="FFF7EFD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D4AA8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</row>
    <row r="7" customFormat="false" ht="15" hidden="false" customHeight="false" outlineLevel="0" collapsed="false">
      <c r="A7" s="6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7" t="s">
        <v>7</v>
      </c>
      <c r="B10" s="5" t="s">
        <v>8</v>
      </c>
    </row>
    <row r="11" customFormat="false" ht="15" hidden="false" customHeight="false" outlineLevel="0" collapsed="false">
      <c r="A11" s="7" t="s">
        <v>9</v>
      </c>
      <c r="B11" s="8" t="s">
        <v>10</v>
      </c>
    </row>
    <row r="12" customFormat="false" ht="15" hidden="false" customHeight="false" outlineLevel="0" collapsed="false">
      <c r="A12" s="7" t="s">
        <v>11</v>
      </c>
      <c r="B12" s="5" t="s">
        <v>12</v>
      </c>
    </row>
    <row r="13" customFormat="false" ht="15" hidden="false" customHeight="false" outlineLevel="0" collapsed="false">
      <c r="A13" s="7" t="s">
        <v>13</v>
      </c>
      <c r="B13" s="5" t="s">
        <v>14</v>
      </c>
    </row>
    <row r="14" customFormat="false" ht="15" hidden="false" customHeight="false" outlineLevel="0" collapsed="false">
      <c r="A14" s="7" t="s">
        <v>15</v>
      </c>
      <c r="B14" s="5" t="s">
        <v>16</v>
      </c>
    </row>
    <row r="15" customFormat="false" ht="15" hidden="false" customHeight="false" outlineLevel="0" collapsed="false">
      <c r="A15" s="7" t="s">
        <v>17</v>
      </c>
      <c r="B15" s="5" t="s">
        <v>18</v>
      </c>
    </row>
    <row r="17" customFormat="false" ht="15" hidden="false" customHeight="false" outlineLevel="0" collapsed="false">
      <c r="A17" s="9" t="s">
        <v>19</v>
      </c>
    </row>
    <row r="18" customFormat="false" ht="15" hidden="false" customHeight="false" outlineLevel="0" collapsed="false">
      <c r="A18" s="1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4"/>
  </cols>
  <sheetData>
    <row r="1" customFormat="false" ht="17.35" hidden="false" customHeight="false" outlineLevel="0" collapsed="false">
      <c r="A1" s="1" t="s">
        <v>21</v>
      </c>
    </row>
    <row r="2" customFormat="false" ht="15" hidden="false" customHeight="false" outlineLevel="0" collapsed="false">
      <c r="A2" s="11" t="s">
        <v>22</v>
      </c>
    </row>
    <row r="4" customFormat="false" ht="30" hidden="false" customHeight="true" outlineLevel="0" collapsed="false">
      <c r="A4" s="12" t="s">
        <v>23</v>
      </c>
      <c r="B4" s="12" t="s">
        <v>24</v>
      </c>
    </row>
    <row r="5" customFormat="false" ht="15" hidden="false" customHeight="false" outlineLevel="0" collapsed="false">
      <c r="A5" s="13" t="s">
        <v>25</v>
      </c>
      <c r="B5" s="14" t="s">
        <v>26</v>
      </c>
    </row>
    <row r="6" customFormat="false" ht="15" hidden="false" customHeight="false" outlineLevel="0" collapsed="false">
      <c r="A6" s="13" t="s">
        <v>27</v>
      </c>
      <c r="B6" s="15" t="s">
        <v>28</v>
      </c>
    </row>
    <row r="7" customFormat="false" ht="15" hidden="false" customHeight="false" outlineLevel="0" collapsed="false">
      <c r="A7" s="13" t="s">
        <v>29</v>
      </c>
      <c r="B7" s="14" t="s">
        <v>30</v>
      </c>
    </row>
    <row r="8" customFormat="false" ht="15" hidden="false" customHeight="false" outlineLevel="0" collapsed="false">
      <c r="A8" s="13" t="s">
        <v>31</v>
      </c>
      <c r="B8" s="14" t="s">
        <v>32</v>
      </c>
    </row>
    <row r="9" customFormat="false" ht="15" hidden="false" customHeight="false" outlineLevel="0" collapsed="false">
      <c r="A9" s="13" t="s">
        <v>33</v>
      </c>
      <c r="B9" s="15" t="s">
        <v>34</v>
      </c>
    </row>
    <row r="10" customFormat="false" ht="15" hidden="false" customHeight="false" outlineLevel="0" collapsed="false">
      <c r="A10" s="13" t="s">
        <v>35</v>
      </c>
      <c r="B10" s="15" t="s">
        <v>36</v>
      </c>
    </row>
    <row r="11" customFormat="false" ht="15" hidden="false" customHeight="false" outlineLevel="0" collapsed="false">
      <c r="A11" s="13" t="s">
        <v>37</v>
      </c>
      <c r="B11" s="15" t="s">
        <v>38</v>
      </c>
    </row>
    <row r="12" customFormat="false" ht="15" hidden="false" customHeight="false" outlineLevel="0" collapsed="false">
      <c r="A12" s="13" t="s">
        <v>39</v>
      </c>
      <c r="B12" s="15" t="s">
        <v>40</v>
      </c>
    </row>
    <row r="13" customFormat="false" ht="15" hidden="false" customHeight="false" outlineLevel="0" collapsed="false">
      <c r="A13" s="13" t="s">
        <v>41</v>
      </c>
      <c r="B13" s="15" t="s">
        <v>42</v>
      </c>
    </row>
    <row r="14" customFormat="false" ht="15" hidden="false" customHeight="false" outlineLevel="0" collapsed="false">
      <c r="A14" s="13" t="s">
        <v>43</v>
      </c>
      <c r="B14" s="15" t="s">
        <v>44</v>
      </c>
    </row>
    <row r="15" customFormat="false" ht="15" hidden="false" customHeight="false" outlineLevel="0" collapsed="false">
      <c r="A15" s="13" t="s">
        <v>45</v>
      </c>
      <c r="B15" s="15" t="s">
        <v>46</v>
      </c>
    </row>
    <row r="16" customFormat="false" ht="15" hidden="false" customHeight="false" outlineLevel="0" collapsed="false">
      <c r="A16" s="13" t="s">
        <v>47</v>
      </c>
      <c r="B16" s="14" t="s">
        <v>48</v>
      </c>
    </row>
    <row r="17" customFormat="false" ht="15" hidden="false" customHeight="false" outlineLevel="0" collapsed="false">
      <c r="A17" s="16" t="s">
        <v>49</v>
      </c>
      <c r="B17" s="15" t="s">
        <v>50</v>
      </c>
    </row>
    <row r="18" customFormat="false" ht="15" hidden="false" customHeight="false" outlineLevel="0" collapsed="false">
      <c r="A18" s="13" t="s">
        <v>51</v>
      </c>
      <c r="B18" s="14" t="s">
        <v>52</v>
      </c>
    </row>
    <row r="20" customFormat="false" ht="15" hidden="false" customHeight="false" outlineLevel="0" collapsed="false">
      <c r="A20" s="17" t="s">
        <v>53</v>
      </c>
    </row>
    <row r="21" customFormat="false" ht="15" hidden="false" customHeight="false" outlineLevel="0" collapsed="false">
      <c r="A21" s="18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7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10" min="8" style="0" width="13"/>
    <col collapsed="false" customWidth="true" hidden="false" outlineLevel="0" max="11" min="11" style="0" width="10"/>
    <col collapsed="false" customWidth="true" hidden="false" outlineLevel="0" max="13" min="12" style="0" width="14"/>
    <col collapsed="false" customWidth="true" hidden="false" outlineLevel="0" max="14" min="14" style="0" width="11"/>
    <col collapsed="false" customWidth="true" hidden="false" outlineLevel="0" max="15" min="15" style="0" width="15"/>
  </cols>
  <sheetData>
    <row r="1" customFormat="false" ht="17.35" hidden="false" customHeight="false" outlineLevel="0" collapsed="false">
      <c r="A1" s="1" t="s">
        <v>55</v>
      </c>
    </row>
    <row r="2" customFormat="false" ht="15" hidden="false" customHeight="false" outlineLevel="0" collapsed="false">
      <c r="A2" s="2" t="s">
        <v>56</v>
      </c>
    </row>
    <row r="4" customFormat="false" ht="30" hidden="false" customHeight="true" outlineLevel="0" collapsed="false">
      <c r="A4" s="12" t="s">
        <v>57</v>
      </c>
      <c r="B4" s="12" t="s">
        <v>58</v>
      </c>
      <c r="C4" s="12" t="s">
        <v>59</v>
      </c>
      <c r="D4" s="12" t="s">
        <v>60</v>
      </c>
      <c r="E4" s="12" t="s">
        <v>61</v>
      </c>
      <c r="F4" s="12" t="s">
        <v>23</v>
      </c>
      <c r="G4" s="12" t="s">
        <v>62</v>
      </c>
      <c r="H4" s="12" t="s">
        <v>63</v>
      </c>
      <c r="I4" s="12" t="s">
        <v>64</v>
      </c>
      <c r="J4" s="12" t="s">
        <v>65</v>
      </c>
      <c r="K4" s="12" t="s">
        <v>66</v>
      </c>
      <c r="L4" s="12" t="s">
        <v>67</v>
      </c>
      <c r="M4" s="12" t="s">
        <v>68</v>
      </c>
      <c r="N4" s="12" t="s">
        <v>69</v>
      </c>
      <c r="O4" s="12" t="s">
        <v>70</v>
      </c>
    </row>
    <row r="5" customFormat="false" ht="15" hidden="false" customHeight="false" outlineLevel="0" collapsed="false">
      <c r="A5" s="19" t="s">
        <v>71</v>
      </c>
      <c r="B5" s="19" t="s">
        <v>72</v>
      </c>
      <c r="C5" s="20" t="n">
        <v>317.22</v>
      </c>
      <c r="D5" s="21" t="n">
        <f aca="false">C5/3.3058</f>
        <v>95.9586181862182</v>
      </c>
      <c r="E5" s="14" t="s">
        <v>73</v>
      </c>
      <c r="F5" s="22" t="s">
        <v>74</v>
      </c>
      <c r="G5" s="23" t="s">
        <v>75</v>
      </c>
      <c r="H5" s="23" t="s">
        <v>75</v>
      </c>
      <c r="I5" s="19" t="s">
        <v>75</v>
      </c>
      <c r="J5" s="24" t="s">
        <v>75</v>
      </c>
      <c r="K5" s="24" t="s">
        <v>75</v>
      </c>
      <c r="L5" s="24" t="s">
        <v>75</v>
      </c>
      <c r="M5" s="24" t="s">
        <v>75</v>
      </c>
      <c r="N5" s="24" t="s">
        <v>75</v>
      </c>
      <c r="O5" s="24" t="s">
        <v>75</v>
      </c>
    </row>
    <row r="6" customFormat="false" ht="15" hidden="false" customHeight="false" outlineLevel="0" collapsed="false">
      <c r="A6" s="19" t="s">
        <v>76</v>
      </c>
      <c r="B6" s="19" t="s">
        <v>77</v>
      </c>
      <c r="C6" s="20" t="n">
        <v>78.39</v>
      </c>
      <c r="D6" s="21" t="n">
        <f aca="false">C6/3.3058</f>
        <v>23.7128682920927</v>
      </c>
      <c r="E6" s="14" t="s">
        <v>78</v>
      </c>
      <c r="F6" s="25" t="s">
        <v>79</v>
      </c>
      <c r="G6" s="23" t="n">
        <v>60000</v>
      </c>
      <c r="H6" s="23" t="n">
        <v>1830</v>
      </c>
      <c r="I6" s="19" t="s">
        <v>80</v>
      </c>
      <c r="J6" s="19" t="s">
        <v>81</v>
      </c>
      <c r="K6" s="26" t="n">
        <v>10.7</v>
      </c>
      <c r="L6" s="27" t="n">
        <v>0</v>
      </c>
      <c r="M6" s="28" t="n">
        <v>2.43</v>
      </c>
      <c r="N6" s="29" t="s">
        <v>82</v>
      </c>
      <c r="O6" s="21" t="n">
        <f aca="false">ROUND(H6/D6,1)</f>
        <v>77.2</v>
      </c>
    </row>
    <row r="7" customFormat="false" ht="15" hidden="false" customHeight="false" outlineLevel="0" collapsed="false">
      <c r="A7" s="19" t="s">
        <v>76</v>
      </c>
      <c r="B7" s="19" t="s">
        <v>83</v>
      </c>
      <c r="C7" s="20" t="n">
        <v>105.6</v>
      </c>
      <c r="D7" s="21" t="n">
        <f aca="false">C7/3.3058</f>
        <v>31.9438562526469</v>
      </c>
      <c r="E7" s="14" t="s">
        <v>84</v>
      </c>
      <c r="F7" s="25" t="s">
        <v>79</v>
      </c>
      <c r="G7" s="23" t="n">
        <v>140000</v>
      </c>
      <c r="H7" s="23" t="n">
        <v>8830</v>
      </c>
      <c r="I7" s="19" t="s">
        <v>80</v>
      </c>
      <c r="J7" s="19" t="s">
        <v>81</v>
      </c>
      <c r="K7" s="26" t="n">
        <v>10.7</v>
      </c>
      <c r="L7" s="27" t="n">
        <v>0</v>
      </c>
      <c r="M7" s="28" t="n">
        <v>10.23</v>
      </c>
      <c r="N7" s="30" t="s">
        <v>85</v>
      </c>
      <c r="O7" s="21" t="n">
        <f aca="false">ROUND(H7/D7,1)</f>
        <v>276.4</v>
      </c>
    </row>
    <row r="8" customFormat="false" ht="15" hidden="false" customHeight="false" outlineLevel="0" collapsed="false">
      <c r="A8" s="19" t="s">
        <v>86</v>
      </c>
      <c r="B8" s="19" t="s">
        <v>87</v>
      </c>
      <c r="C8" s="20" t="n">
        <v>252.09</v>
      </c>
      <c r="D8" s="21" t="n">
        <f aca="false">C8/3.3058</f>
        <v>76.2568818440317</v>
      </c>
      <c r="E8" s="14" t="s">
        <v>84</v>
      </c>
      <c r="F8" s="25" t="s">
        <v>88</v>
      </c>
      <c r="G8" s="23" t="s">
        <v>75</v>
      </c>
      <c r="H8" s="23" t="s">
        <v>75</v>
      </c>
      <c r="I8" s="19" t="s">
        <v>80</v>
      </c>
      <c r="J8" s="24" t="s">
        <v>75</v>
      </c>
      <c r="K8" s="24" t="s">
        <v>75</v>
      </c>
      <c r="L8" s="24" t="s">
        <v>75</v>
      </c>
      <c r="M8" s="24" t="s">
        <v>75</v>
      </c>
      <c r="N8" s="24" t="s">
        <v>75</v>
      </c>
      <c r="O8" s="24" t="s">
        <v>75</v>
      </c>
    </row>
    <row r="9" customFormat="false" ht="15" hidden="false" customHeight="false" outlineLevel="0" collapsed="false">
      <c r="A9" s="19" t="s">
        <v>89</v>
      </c>
      <c r="B9" s="19" t="s">
        <v>90</v>
      </c>
      <c r="C9" s="20" t="n">
        <v>252.09</v>
      </c>
      <c r="D9" s="21" t="n">
        <f aca="false">C9/3.3058</f>
        <v>76.2568818440317</v>
      </c>
      <c r="E9" s="14" t="s">
        <v>91</v>
      </c>
      <c r="F9" s="25" t="s">
        <v>79</v>
      </c>
      <c r="G9" s="23" t="n">
        <v>50000</v>
      </c>
      <c r="H9" s="23" t="n">
        <v>4550</v>
      </c>
      <c r="I9" s="19" t="s">
        <v>92</v>
      </c>
      <c r="J9" s="19" t="s">
        <v>93</v>
      </c>
      <c r="K9" s="26" t="n">
        <v>4.1</v>
      </c>
      <c r="L9" s="31" t="n">
        <v>5.9</v>
      </c>
      <c r="M9" s="28" t="n">
        <v>5.05</v>
      </c>
      <c r="N9" s="29" t="s">
        <v>82</v>
      </c>
      <c r="O9" s="21" t="n">
        <f aca="false">ROUND(H9/D9,1)</f>
        <v>59.7</v>
      </c>
    </row>
    <row r="10" customFormat="false" ht="15" hidden="false" customHeight="false" outlineLevel="0" collapsed="false">
      <c r="A10" s="19" t="s">
        <v>94</v>
      </c>
      <c r="B10" s="19" t="s">
        <v>95</v>
      </c>
      <c r="C10" s="20" t="n">
        <v>169.06</v>
      </c>
      <c r="D10" s="21" t="n">
        <f aca="false">C10/3.3058</f>
        <v>51.1404198681106</v>
      </c>
      <c r="E10" s="14" t="s">
        <v>96</v>
      </c>
      <c r="F10" s="25" t="s">
        <v>79</v>
      </c>
      <c r="G10" s="23" t="n">
        <v>30000</v>
      </c>
      <c r="H10" s="23" t="n">
        <v>2600</v>
      </c>
      <c r="I10" s="19" t="s">
        <v>97</v>
      </c>
      <c r="J10" s="19" t="s">
        <v>98</v>
      </c>
      <c r="K10" s="26" t="n">
        <v>3</v>
      </c>
      <c r="L10" s="31" t="n">
        <v>7</v>
      </c>
      <c r="M10" s="28" t="n">
        <v>2.9</v>
      </c>
      <c r="N10" s="29" t="s">
        <v>82</v>
      </c>
      <c r="O10" s="21" t="n">
        <f aca="false">ROUND(H10/D10,1)</f>
        <v>50.8</v>
      </c>
    </row>
    <row r="11" customFormat="false" ht="15" hidden="false" customHeight="false" outlineLevel="0" collapsed="false">
      <c r="A11" s="19" t="s">
        <v>94</v>
      </c>
      <c r="B11" s="19" t="s">
        <v>99</v>
      </c>
      <c r="C11" s="20" t="n">
        <v>83.03</v>
      </c>
      <c r="D11" s="21" t="n">
        <f aca="false">C11/3.3058</f>
        <v>25.1164619759211</v>
      </c>
      <c r="E11" s="15" t="s">
        <v>100</v>
      </c>
      <c r="F11" s="22" t="s">
        <v>74</v>
      </c>
      <c r="G11" s="23" t="s">
        <v>75</v>
      </c>
      <c r="H11" s="23" t="s">
        <v>75</v>
      </c>
      <c r="I11" s="19" t="s">
        <v>75</v>
      </c>
      <c r="J11" s="24" t="s">
        <v>75</v>
      </c>
      <c r="K11" s="24" t="s">
        <v>75</v>
      </c>
      <c r="L11" s="24" t="s">
        <v>75</v>
      </c>
      <c r="M11" s="24" t="s">
        <v>75</v>
      </c>
      <c r="N11" s="24" t="s">
        <v>75</v>
      </c>
      <c r="O11" s="24" t="s">
        <v>75</v>
      </c>
    </row>
    <row r="12" customFormat="false" ht="15" hidden="false" customHeight="false" outlineLevel="0" collapsed="false">
      <c r="A12" s="19" t="s">
        <v>101</v>
      </c>
      <c r="B12" s="19" t="s">
        <v>102</v>
      </c>
      <c r="C12" s="20" t="n">
        <v>183.67</v>
      </c>
      <c r="D12" s="21" t="n">
        <f aca="false">C12/3.3058</f>
        <v>55.5599249803376</v>
      </c>
      <c r="E12" s="14" t="s">
        <v>84</v>
      </c>
      <c r="F12" s="25" t="s">
        <v>79</v>
      </c>
      <c r="G12" s="23" t="n">
        <v>10000</v>
      </c>
      <c r="H12" s="23" t="n">
        <v>1650</v>
      </c>
      <c r="I12" s="19" t="s">
        <v>80</v>
      </c>
      <c r="J12" s="19" t="s">
        <v>81</v>
      </c>
      <c r="K12" s="26" t="n">
        <v>10.7</v>
      </c>
      <c r="L12" s="27" t="n">
        <v>0</v>
      </c>
      <c r="M12" s="28" t="n">
        <v>1.75</v>
      </c>
      <c r="N12" s="29" t="s">
        <v>82</v>
      </c>
      <c r="O12" s="21" t="n">
        <f aca="false">ROUND(H12/D12,1)</f>
        <v>29.7</v>
      </c>
    </row>
    <row r="13" customFormat="false" ht="15" hidden="false" customHeight="false" outlineLevel="0" collapsed="false">
      <c r="A13" s="32" t="s">
        <v>103</v>
      </c>
      <c r="B13" s="33"/>
      <c r="C13" s="34" t="n">
        <f aca="false">SUM(C5:C12)</f>
        <v>1441.15</v>
      </c>
      <c r="D13" s="35" t="n">
        <f aca="false">SUM(D5:D12)</f>
        <v>435.94591324339</v>
      </c>
      <c r="E13" s="33"/>
      <c r="F13" s="33"/>
      <c r="G13" s="36" t="n">
        <f aca="false">SUM(G5:G12)</f>
        <v>290000</v>
      </c>
      <c r="H13" s="36" t="n">
        <f aca="false">SUM(H5:H12)</f>
        <v>19460</v>
      </c>
      <c r="I13" s="33"/>
      <c r="J13" s="33"/>
      <c r="K13" s="33"/>
      <c r="L13" s="33"/>
      <c r="M13" s="33"/>
      <c r="N13" s="33"/>
      <c r="O13" s="33"/>
    </row>
    <row r="15" customFormat="false" ht="15" hidden="false" customHeight="false" outlineLevel="0" collapsed="false">
      <c r="A15" s="37" t="s">
        <v>104</v>
      </c>
    </row>
    <row r="16" customFormat="false" ht="15" hidden="false" customHeight="false" outlineLevel="0" collapsed="false">
      <c r="A16" s="38" t="s">
        <v>105</v>
      </c>
    </row>
    <row r="17" customFormat="false" ht="15" hidden="false" customHeight="false" outlineLevel="0" collapsed="false">
      <c r="A17" s="18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5"/>
    <col collapsed="false" customWidth="true" hidden="false" outlineLevel="0" max="5" min="4" style="0" width="14"/>
    <col collapsed="false" customWidth="true" hidden="false" outlineLevel="0" max="6" min="6" style="0" width="17"/>
    <col collapsed="false" customWidth="true" hidden="false" outlineLevel="0" max="7" min="7" style="0" width="26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26"/>
    <col collapsed="false" customWidth="true" hidden="false" outlineLevel="0" max="11" min="11" style="0" width="13"/>
  </cols>
  <sheetData>
    <row r="1" customFormat="false" ht="17.35" hidden="false" customHeight="false" outlineLevel="0" collapsed="false">
      <c r="A1" s="1" t="s">
        <v>107</v>
      </c>
    </row>
    <row r="2" customFormat="false" ht="15" hidden="false" customHeight="false" outlineLevel="0" collapsed="false">
      <c r="A2" s="11" t="s">
        <v>108</v>
      </c>
    </row>
    <row r="4" customFormat="false" ht="30" hidden="false" customHeight="true" outlineLevel="0" collapsed="false">
      <c r="A4" s="12" t="s">
        <v>57</v>
      </c>
      <c r="B4" s="12" t="s">
        <v>60</v>
      </c>
      <c r="C4" s="12" t="s">
        <v>62</v>
      </c>
      <c r="D4" s="12" t="s">
        <v>63</v>
      </c>
      <c r="E4" s="39" t="s">
        <v>109</v>
      </c>
      <c r="F4" s="12" t="s">
        <v>110</v>
      </c>
      <c r="G4" s="12" t="s">
        <v>111</v>
      </c>
      <c r="H4" s="12" t="s">
        <v>112</v>
      </c>
      <c r="I4" s="12" t="s">
        <v>113</v>
      </c>
      <c r="J4" s="12" t="s">
        <v>114</v>
      </c>
      <c r="K4" s="12" t="s">
        <v>115</v>
      </c>
    </row>
    <row r="5" customFormat="false" ht="15" hidden="false" customHeight="false" outlineLevel="0" collapsed="false">
      <c r="A5" s="15" t="s">
        <v>71</v>
      </c>
      <c r="B5" s="40" t="n">
        <v>96</v>
      </c>
      <c r="C5" s="23" t="n">
        <v>50000</v>
      </c>
      <c r="D5" s="23" t="n">
        <v>4580</v>
      </c>
      <c r="E5" s="21" t="n">
        <f aca="false">D5+C5*$B$16/12</f>
        <v>4788.33333333333</v>
      </c>
      <c r="F5" s="21" t="n">
        <f aca="false">ROUND(E5/B5,1)</f>
        <v>49.9</v>
      </c>
      <c r="G5" s="14" t="s">
        <v>116</v>
      </c>
      <c r="H5" s="41" t="s">
        <v>75</v>
      </c>
      <c r="I5" s="42" t="s">
        <v>117</v>
      </c>
      <c r="J5" s="43" t="s">
        <v>118</v>
      </c>
      <c r="K5" s="30" t="s">
        <v>119</v>
      </c>
    </row>
    <row r="6" customFormat="false" ht="15" hidden="false" customHeight="false" outlineLevel="0" collapsed="false">
      <c r="A6" s="15" t="s">
        <v>120</v>
      </c>
      <c r="B6" s="40" t="n">
        <v>23.7</v>
      </c>
      <c r="C6" s="23" t="n">
        <v>60000</v>
      </c>
      <c r="D6" s="23" t="n">
        <v>3450</v>
      </c>
      <c r="E6" s="21" t="n">
        <f aca="false">D6+C6*$B$16/12</f>
        <v>3700</v>
      </c>
      <c r="F6" s="21" t="n">
        <f aca="false">ROUND(E6/B6,1)</f>
        <v>156.1</v>
      </c>
      <c r="G6" s="14" t="s">
        <v>121</v>
      </c>
      <c r="H6" s="41" t="n">
        <v>1830</v>
      </c>
      <c r="I6" s="42" t="n">
        <f aca="false">IF(H6="—","신규",(D6-H6)/H6)</f>
        <v>0.885245901639344</v>
      </c>
      <c r="J6" s="43" t="s">
        <v>122</v>
      </c>
      <c r="K6" s="44" t="s">
        <v>123</v>
      </c>
    </row>
    <row r="7" customFormat="false" ht="15" hidden="false" customHeight="false" outlineLevel="0" collapsed="false">
      <c r="A7" s="15" t="s">
        <v>124</v>
      </c>
      <c r="B7" s="40" t="n">
        <v>31.9</v>
      </c>
      <c r="C7" s="23" t="n">
        <v>140000</v>
      </c>
      <c r="D7" s="23" t="n">
        <v>8160</v>
      </c>
      <c r="E7" s="21" t="n">
        <f aca="false">D7+C7*$B$16/12</f>
        <v>8743.33333333333</v>
      </c>
      <c r="F7" s="21" t="n">
        <f aca="false">ROUND(E7/B7,1)</f>
        <v>274.1</v>
      </c>
      <c r="G7" s="14" t="s">
        <v>125</v>
      </c>
      <c r="H7" s="41" t="n">
        <v>8830</v>
      </c>
      <c r="I7" s="42" t="n">
        <f aca="false">IF(H7="—","신규",(D7-H7)/H7)</f>
        <v>-0.0758776896942242</v>
      </c>
      <c r="J7" s="43" t="s">
        <v>126</v>
      </c>
      <c r="K7" s="30" t="s">
        <v>119</v>
      </c>
    </row>
    <row r="8" customFormat="false" ht="15" hidden="false" customHeight="false" outlineLevel="0" collapsed="false">
      <c r="A8" s="15" t="s">
        <v>86</v>
      </c>
      <c r="B8" s="40" t="n">
        <v>76.3</v>
      </c>
      <c r="C8" s="23" t="s">
        <v>75</v>
      </c>
      <c r="D8" s="23" t="s">
        <v>75</v>
      </c>
      <c r="E8" s="24" t="s">
        <v>75</v>
      </c>
      <c r="F8" s="21" t="n">
        <v>62.4</v>
      </c>
      <c r="G8" s="14" t="s">
        <v>127</v>
      </c>
      <c r="H8" s="41" t="s">
        <v>75</v>
      </c>
      <c r="I8" s="42" t="s">
        <v>117</v>
      </c>
      <c r="J8" s="45" t="s">
        <v>128</v>
      </c>
      <c r="K8" s="24" t="s">
        <v>75</v>
      </c>
    </row>
    <row r="9" customFormat="false" ht="15" hidden="false" customHeight="false" outlineLevel="0" collapsed="false">
      <c r="A9" s="15" t="s">
        <v>89</v>
      </c>
      <c r="B9" s="40" t="n">
        <v>76.3</v>
      </c>
      <c r="C9" s="23" t="n">
        <v>50000</v>
      </c>
      <c r="D9" s="23" t="n">
        <v>4550</v>
      </c>
      <c r="E9" s="21" t="n">
        <f aca="false">D9+C9*$B$16/12</f>
        <v>4758.33333333333</v>
      </c>
      <c r="F9" s="21" t="n">
        <f aca="false">ROUND(E9/B9,1)</f>
        <v>62.4</v>
      </c>
      <c r="G9" s="14" t="s">
        <v>129</v>
      </c>
      <c r="H9" s="41" t="n">
        <v>4550</v>
      </c>
      <c r="I9" s="42" t="n">
        <f aca="false">IF(H9="—","신규",(D9-H9)/H9)</f>
        <v>0</v>
      </c>
      <c r="J9" s="43" t="s">
        <v>130</v>
      </c>
      <c r="K9" s="24" t="s">
        <v>131</v>
      </c>
    </row>
    <row r="10" customFormat="false" ht="15" hidden="false" customHeight="false" outlineLevel="0" collapsed="false">
      <c r="A10" s="15" t="s">
        <v>132</v>
      </c>
      <c r="B10" s="40" t="n">
        <v>51.1</v>
      </c>
      <c r="C10" s="23" t="n">
        <v>30000</v>
      </c>
      <c r="D10" s="23" t="n">
        <v>3060</v>
      </c>
      <c r="E10" s="21" t="n">
        <f aca="false">D10+C10*$B$16/12</f>
        <v>3185</v>
      </c>
      <c r="F10" s="21" t="n">
        <f aca="false">ROUND(E10/B10,1)</f>
        <v>62.3</v>
      </c>
      <c r="G10" s="14" t="s">
        <v>133</v>
      </c>
      <c r="H10" s="41" t="n">
        <v>2600</v>
      </c>
      <c r="I10" s="42" t="n">
        <f aca="false">IF(H10="—","신규",(D10-H10)/H10)</f>
        <v>0.176923076923077</v>
      </c>
      <c r="J10" s="46" t="s">
        <v>134</v>
      </c>
      <c r="K10" s="47" t="s">
        <v>135</v>
      </c>
    </row>
    <row r="11" customFormat="false" ht="15" hidden="false" customHeight="false" outlineLevel="0" collapsed="false">
      <c r="A11" s="15" t="s">
        <v>136</v>
      </c>
      <c r="B11" s="40" t="n">
        <v>25.1</v>
      </c>
      <c r="C11" s="23" t="n">
        <v>30000</v>
      </c>
      <c r="D11" s="23" t="n">
        <v>1440</v>
      </c>
      <c r="E11" s="21" t="n">
        <f aca="false">D11+C11*$B$16/12</f>
        <v>1565</v>
      </c>
      <c r="F11" s="21" t="n">
        <f aca="false">ROUND(E11/B11,1)</f>
        <v>62.4</v>
      </c>
      <c r="G11" s="14" t="s">
        <v>133</v>
      </c>
      <c r="H11" s="41" t="s">
        <v>75</v>
      </c>
      <c r="I11" s="42" t="s">
        <v>117</v>
      </c>
      <c r="J11" s="43" t="s">
        <v>118</v>
      </c>
      <c r="K11" s="30" t="s">
        <v>119</v>
      </c>
    </row>
    <row r="12" customFormat="false" ht="15" hidden="false" customHeight="false" outlineLevel="0" collapsed="false">
      <c r="A12" s="15" t="s">
        <v>101</v>
      </c>
      <c r="B12" s="40" t="n">
        <v>55.6</v>
      </c>
      <c r="C12" s="23" t="n">
        <v>10000</v>
      </c>
      <c r="D12" s="23" t="n">
        <v>3430</v>
      </c>
      <c r="E12" s="21" t="n">
        <f aca="false">D12+C12*$B$16/12</f>
        <v>3471.66666666667</v>
      </c>
      <c r="F12" s="21" t="n">
        <f aca="false">ROUND(E12/B12,1)</f>
        <v>62.4</v>
      </c>
      <c r="G12" s="14" t="s">
        <v>133</v>
      </c>
      <c r="H12" s="41" t="n">
        <v>1650</v>
      </c>
      <c r="I12" s="42" t="n">
        <f aca="false">IF(H12="—","신규",(D12-H12)/H12)</f>
        <v>1.07878787878788</v>
      </c>
      <c r="J12" s="43" t="s">
        <v>122</v>
      </c>
      <c r="K12" s="44" t="s">
        <v>123</v>
      </c>
    </row>
    <row r="13" customFormat="false" ht="15" hidden="false" customHeight="false" outlineLevel="0" collapsed="false">
      <c r="A13" s="32" t="s">
        <v>103</v>
      </c>
      <c r="B13" s="35" t="n">
        <f aca="false">SUM(B5:B12)</f>
        <v>436</v>
      </c>
      <c r="C13" s="36" t="n">
        <f aca="false">SUM(C5:C12)</f>
        <v>370000</v>
      </c>
      <c r="D13" s="36" t="n">
        <f aca="false">SUM(D5:D12)</f>
        <v>28670</v>
      </c>
      <c r="E13" s="36" t="n">
        <f aca="false">SUM(E5:E12)</f>
        <v>30211.6666666667</v>
      </c>
      <c r="F13" s="33"/>
      <c r="G13" s="33"/>
      <c r="H13" s="36" t="n">
        <f aca="false">SUM(H5:H12)</f>
        <v>19460</v>
      </c>
      <c r="I13" s="48" t="n">
        <f aca="false">(D13-H13)/H13</f>
        <v>0.47327852004111</v>
      </c>
      <c r="J13" s="33"/>
      <c r="K13" s="33"/>
    </row>
    <row r="15" customFormat="false" ht="15" hidden="false" customHeight="false" outlineLevel="0" collapsed="false">
      <c r="A15" s="3" t="s">
        <v>137</v>
      </c>
    </row>
    <row r="16" customFormat="false" ht="15" hidden="false" customHeight="false" outlineLevel="0" collapsed="false">
      <c r="A16" s="5" t="s">
        <v>138</v>
      </c>
      <c r="B16" s="49" t="n">
        <v>0.05</v>
      </c>
    </row>
    <row r="17" customFormat="false" ht="15" hidden="false" customHeight="false" outlineLevel="0" collapsed="false">
      <c r="A17" s="5" t="s">
        <v>139</v>
      </c>
      <c r="B17" s="50" t="n">
        <v>11500000</v>
      </c>
    </row>
    <row r="19" customFormat="false" ht="15" hidden="false" customHeight="false" outlineLevel="0" collapsed="false">
      <c r="A19" s="3" t="s">
        <v>140</v>
      </c>
    </row>
    <row r="20" customFormat="false" ht="15" hidden="false" customHeight="false" outlineLevel="0" collapsed="false">
      <c r="A20" s="5" t="s">
        <v>141</v>
      </c>
      <c r="B20" s="51" t="n">
        <f aca="false">D13*12/(B17-C13)</f>
        <v>0.030911051212938</v>
      </c>
    </row>
    <row r="21" customFormat="false" ht="15" hidden="false" customHeight="false" outlineLevel="0" collapsed="false">
      <c r="A21" s="5" t="s">
        <v>142</v>
      </c>
      <c r="B21" s="52" t="n">
        <f aca="false">D13*12/B17</f>
        <v>0.0299165217391304</v>
      </c>
    </row>
    <row r="22" customFormat="false" ht="15" hidden="false" customHeight="false" outlineLevel="0" collapsed="false">
      <c r="A22" s="5" t="s">
        <v>143</v>
      </c>
      <c r="B22" s="52" t="n">
        <f aca="false">E13*12/B17</f>
        <v>0.0315252173913044</v>
      </c>
    </row>
    <row r="24" customFormat="false" ht="15" hidden="false" customHeight="false" outlineLevel="0" collapsed="false">
      <c r="A24" s="53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7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145</v>
      </c>
    </row>
    <row r="2" customFormat="false" ht="15" hidden="false" customHeight="false" outlineLevel="0" collapsed="false">
      <c r="A2" s="11" t="s">
        <v>146</v>
      </c>
    </row>
    <row r="4" customFormat="false" ht="30" hidden="false" customHeight="true" outlineLevel="0" collapsed="false">
      <c r="A4" s="12" t="s">
        <v>25</v>
      </c>
      <c r="B4" s="12" t="s">
        <v>147</v>
      </c>
      <c r="C4" s="12" t="s">
        <v>148</v>
      </c>
      <c r="D4" s="12" t="s">
        <v>149</v>
      </c>
      <c r="E4" s="12" t="s">
        <v>150</v>
      </c>
      <c r="F4" s="12" t="s">
        <v>151</v>
      </c>
    </row>
    <row r="5" customFormat="false" ht="15" hidden="false" customHeight="false" outlineLevel="0" collapsed="false">
      <c r="A5" s="14" t="s">
        <v>152</v>
      </c>
      <c r="B5" s="23" t="n">
        <v>201</v>
      </c>
      <c r="C5" s="23" t="n">
        <v>856</v>
      </c>
      <c r="D5" s="23" t="n">
        <v>18000000</v>
      </c>
      <c r="E5" s="41" t="n">
        <f aca="false">ROUND(D5/B5,0)</f>
        <v>89552</v>
      </c>
      <c r="F5" s="25" t="s">
        <v>153</v>
      </c>
    </row>
    <row r="6" customFormat="false" ht="15" hidden="false" customHeight="false" outlineLevel="0" collapsed="false">
      <c r="A6" s="14" t="s">
        <v>154</v>
      </c>
      <c r="B6" s="23" t="n">
        <v>266</v>
      </c>
      <c r="C6" s="23" t="n">
        <v>1578</v>
      </c>
      <c r="D6" s="23" t="n">
        <v>43000000</v>
      </c>
      <c r="E6" s="41" t="n">
        <f aca="false">ROUND(D6/B6,0)</f>
        <v>161654</v>
      </c>
      <c r="F6" s="25" t="s">
        <v>155</v>
      </c>
    </row>
    <row r="7" customFormat="false" ht="15" hidden="false" customHeight="false" outlineLevel="0" collapsed="false">
      <c r="A7" s="14" t="s">
        <v>156</v>
      </c>
      <c r="B7" s="23" t="n">
        <v>144</v>
      </c>
      <c r="C7" s="23" t="n">
        <v>818</v>
      </c>
      <c r="D7" s="23" t="n">
        <v>20000000</v>
      </c>
      <c r="E7" s="41" t="n">
        <f aca="false">ROUND(D7/B7,0)</f>
        <v>138889</v>
      </c>
      <c r="F7" s="25" t="s">
        <v>157</v>
      </c>
    </row>
    <row r="8" customFormat="false" ht="15" hidden="false" customHeight="false" outlineLevel="0" collapsed="false">
      <c r="A8" s="14" t="s">
        <v>158</v>
      </c>
      <c r="B8" s="23" t="n">
        <v>283</v>
      </c>
      <c r="C8" s="23" t="n">
        <v>1833</v>
      </c>
      <c r="D8" s="23" t="n">
        <v>43000000</v>
      </c>
      <c r="E8" s="41" t="n">
        <f aca="false">ROUND(D8/B8,0)</f>
        <v>151943</v>
      </c>
      <c r="F8" s="25" t="s">
        <v>155</v>
      </c>
    </row>
    <row r="9" customFormat="false" ht="15" hidden="false" customHeight="false" outlineLevel="0" collapsed="false">
      <c r="A9" s="54" t="s">
        <v>159</v>
      </c>
      <c r="B9" s="55" t="n">
        <v>153.31</v>
      </c>
      <c r="C9" s="56" t="n">
        <v>435.9</v>
      </c>
      <c r="D9" s="57" t="n">
        <v>11500000</v>
      </c>
      <c r="E9" s="57" t="n">
        <f aca="false">ROUND(D9/B9,0)</f>
        <v>75011</v>
      </c>
      <c r="F9" s="58" t="s">
        <v>160</v>
      </c>
    </row>
    <row r="11" customFormat="false" ht="15" hidden="false" customHeight="false" outlineLevel="0" collapsed="false">
      <c r="A11" s="3" t="s">
        <v>161</v>
      </c>
    </row>
    <row r="12" customFormat="false" ht="30" hidden="false" customHeight="true" outlineLevel="0" collapsed="false">
      <c r="A12" s="12" t="s">
        <v>23</v>
      </c>
      <c r="B12" s="12" t="s">
        <v>162</v>
      </c>
    </row>
    <row r="13" customFormat="false" ht="15" hidden="false" customHeight="false" outlineLevel="0" collapsed="false">
      <c r="A13" s="43" t="s">
        <v>163</v>
      </c>
      <c r="B13" s="19" t="s">
        <v>164</v>
      </c>
    </row>
    <row r="14" customFormat="false" ht="15" hidden="false" customHeight="false" outlineLevel="0" collapsed="false">
      <c r="A14" s="43" t="s">
        <v>165</v>
      </c>
      <c r="B14" s="19" t="s">
        <v>166</v>
      </c>
    </row>
    <row r="15" customFormat="false" ht="15" hidden="false" customHeight="false" outlineLevel="0" collapsed="false">
      <c r="A15" s="54" t="s">
        <v>167</v>
      </c>
      <c r="B15" s="59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5"/>
    <col collapsed="false" customWidth="true" hidden="false" outlineLevel="0" max="5" min="4" style="0" width="14"/>
    <col collapsed="false" customWidth="true" hidden="false" outlineLevel="0" max="6" min="6" style="0" width="13"/>
    <col collapsed="false" customWidth="true" hidden="false" outlineLevel="0" max="7" min="7" style="0" width="22"/>
    <col collapsed="false" customWidth="true" hidden="false" outlineLevel="0" max="8" min="8" style="0" width="20"/>
  </cols>
  <sheetData>
    <row r="1" customFormat="false" ht="17.35" hidden="false" customHeight="false" outlineLevel="0" collapsed="false">
      <c r="A1" s="1" t="s">
        <v>169</v>
      </c>
    </row>
    <row r="2" customFormat="false" ht="15" hidden="false" customHeight="false" outlineLevel="0" collapsed="false">
      <c r="A2" s="2" t="s">
        <v>170</v>
      </c>
    </row>
    <row r="4" customFormat="false" ht="30" hidden="false" customHeight="true" outlineLevel="0" collapsed="false">
      <c r="A4" s="12" t="s">
        <v>171</v>
      </c>
      <c r="B4" s="12" t="s">
        <v>57</v>
      </c>
      <c r="C4" s="12" t="s">
        <v>172</v>
      </c>
      <c r="D4" s="12" t="s">
        <v>173</v>
      </c>
      <c r="E4" s="12" t="s">
        <v>174</v>
      </c>
      <c r="F4" s="12" t="s">
        <v>175</v>
      </c>
      <c r="G4" s="12" t="s">
        <v>176</v>
      </c>
      <c r="H4" s="12" t="s">
        <v>151</v>
      </c>
    </row>
    <row r="5" customFormat="false" ht="15" hidden="false" customHeight="false" outlineLevel="0" collapsed="false">
      <c r="A5" s="19" t="s">
        <v>77</v>
      </c>
      <c r="B5" s="19" t="s">
        <v>76</v>
      </c>
      <c r="C5" s="20" t="n">
        <v>78.39</v>
      </c>
      <c r="D5" s="19" t="s">
        <v>177</v>
      </c>
      <c r="E5" s="25" t="s">
        <v>178</v>
      </c>
      <c r="F5" s="19" t="s">
        <v>179</v>
      </c>
      <c r="G5" s="23" t="n">
        <v>900000</v>
      </c>
      <c r="H5" s="14" t="s">
        <v>180</v>
      </c>
    </row>
    <row r="6" customFormat="false" ht="15" hidden="false" customHeight="false" outlineLevel="0" collapsed="false">
      <c r="A6" s="19" t="s">
        <v>83</v>
      </c>
      <c r="B6" s="19" t="s">
        <v>76</v>
      </c>
      <c r="C6" s="20" t="n">
        <v>105.6</v>
      </c>
      <c r="D6" s="19" t="s">
        <v>181</v>
      </c>
      <c r="E6" s="25" t="s">
        <v>178</v>
      </c>
      <c r="F6" s="19" t="s">
        <v>179</v>
      </c>
      <c r="G6" s="23" t="s">
        <v>75</v>
      </c>
      <c r="H6" s="14" t="s">
        <v>182</v>
      </c>
    </row>
    <row r="7" customFormat="false" ht="15" hidden="false" customHeight="false" outlineLevel="0" collapsed="false">
      <c r="A7" s="19" t="s">
        <v>87</v>
      </c>
      <c r="B7" s="19" t="s">
        <v>86</v>
      </c>
      <c r="C7" s="20" t="n">
        <v>252.09</v>
      </c>
      <c r="D7" s="19" t="s">
        <v>183</v>
      </c>
      <c r="E7" s="25" t="s">
        <v>178</v>
      </c>
      <c r="F7" s="19" t="s">
        <v>179</v>
      </c>
      <c r="G7" s="23" t="s">
        <v>75</v>
      </c>
      <c r="H7" s="14"/>
    </row>
    <row r="8" customFormat="false" ht="15" hidden="false" customHeight="false" outlineLevel="0" collapsed="false">
      <c r="A8" s="19" t="s">
        <v>90</v>
      </c>
      <c r="B8" s="19" t="s">
        <v>89</v>
      </c>
      <c r="C8" s="20" t="n">
        <v>252.09</v>
      </c>
      <c r="D8" s="19" t="s">
        <v>183</v>
      </c>
      <c r="E8" s="25" t="s">
        <v>184</v>
      </c>
      <c r="F8" s="19" t="s">
        <v>179</v>
      </c>
      <c r="G8" s="23" t="n">
        <v>700000</v>
      </c>
      <c r="H8" s="14" t="s">
        <v>185</v>
      </c>
    </row>
    <row r="9" customFormat="false" ht="15" hidden="false" customHeight="false" outlineLevel="0" collapsed="false">
      <c r="A9" s="19" t="s">
        <v>95</v>
      </c>
      <c r="B9" s="19" t="s">
        <v>94</v>
      </c>
      <c r="C9" s="20" t="n">
        <v>169.06</v>
      </c>
      <c r="D9" s="19" t="s">
        <v>186</v>
      </c>
      <c r="E9" s="25" t="s">
        <v>184</v>
      </c>
      <c r="F9" s="19" t="s">
        <v>179</v>
      </c>
      <c r="G9" s="23" t="s">
        <v>75</v>
      </c>
      <c r="H9" s="14" t="s">
        <v>187</v>
      </c>
    </row>
    <row r="10" customFormat="false" ht="15" hidden="false" customHeight="false" outlineLevel="0" collapsed="false">
      <c r="A10" s="19" t="s">
        <v>99</v>
      </c>
      <c r="B10" s="19" t="s">
        <v>94</v>
      </c>
      <c r="C10" s="20" t="n">
        <v>83.03</v>
      </c>
      <c r="D10" s="19" t="s">
        <v>188</v>
      </c>
      <c r="E10" s="25" t="s">
        <v>184</v>
      </c>
      <c r="F10" s="19" t="s">
        <v>179</v>
      </c>
      <c r="G10" s="23" t="s">
        <v>75</v>
      </c>
      <c r="H10" s="14"/>
    </row>
    <row r="11" customFormat="false" ht="15" hidden="false" customHeight="false" outlineLevel="0" collapsed="false">
      <c r="A11" s="19" t="s">
        <v>102</v>
      </c>
      <c r="B11" s="19" t="s">
        <v>101</v>
      </c>
      <c r="C11" s="20" t="n">
        <v>183.67</v>
      </c>
      <c r="D11" s="19" t="s">
        <v>189</v>
      </c>
      <c r="E11" s="25" t="s">
        <v>178</v>
      </c>
      <c r="F11" s="19" t="s">
        <v>179</v>
      </c>
      <c r="G11" s="23" t="s">
        <v>75</v>
      </c>
      <c r="H11" s="14"/>
    </row>
    <row r="12" customFormat="false" ht="15" hidden="false" customHeight="false" outlineLevel="0" collapsed="false">
      <c r="A12" s="19" t="s">
        <v>72</v>
      </c>
      <c r="B12" s="19" t="s">
        <v>71</v>
      </c>
      <c r="C12" s="20" t="n">
        <v>317.22</v>
      </c>
      <c r="D12" s="19" t="s">
        <v>190</v>
      </c>
      <c r="E12" s="25" t="s">
        <v>191</v>
      </c>
      <c r="F12" s="19" t="s">
        <v>179</v>
      </c>
      <c r="G12" s="23" t="s">
        <v>75</v>
      </c>
      <c r="H12" s="14" t="s">
        <v>192</v>
      </c>
    </row>
    <row r="13" customFormat="false" ht="15" hidden="false" customHeight="false" outlineLevel="0" collapsed="false">
      <c r="A13" s="32" t="s">
        <v>103</v>
      </c>
      <c r="B13" s="33"/>
      <c r="C13" s="34" t="n">
        <f aca="false">SUM(C5:C12)</f>
        <v>1441.15</v>
      </c>
      <c r="D13" s="60" t="s">
        <v>193</v>
      </c>
      <c r="E13" s="33"/>
      <c r="F13" s="33"/>
      <c r="G13" s="57" t="n">
        <f aca="false">SUM(G5:G12)</f>
        <v>1600000</v>
      </c>
      <c r="H13" s="33"/>
    </row>
    <row r="15" customFormat="false" ht="15" hidden="false" customHeight="false" outlineLevel="0" collapsed="false">
      <c r="A15" s="38" t="s">
        <v>194</v>
      </c>
    </row>
    <row r="16" customFormat="false" ht="15" hidden="false" customHeight="false" outlineLevel="0" collapsed="false">
      <c r="A16" s="61" t="s">
        <v>195</v>
      </c>
    </row>
    <row r="17" customFormat="false" ht="15" hidden="false" customHeight="false" outlineLevel="0" collapsed="false">
      <c r="A17" s="37" t="s">
        <v>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2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197</v>
      </c>
    </row>
    <row r="2" customFormat="false" ht="15" hidden="false" customHeight="false" outlineLevel="0" collapsed="false">
      <c r="A2" s="2" t="s">
        <v>198</v>
      </c>
    </row>
    <row r="4" customFormat="false" ht="30" hidden="false" customHeight="true" outlineLevel="0" collapsed="false">
      <c r="A4" s="12" t="s">
        <v>23</v>
      </c>
      <c r="B4" s="12" t="s">
        <v>199</v>
      </c>
      <c r="C4" s="12" t="s">
        <v>111</v>
      </c>
    </row>
    <row r="5" customFormat="false" ht="15" hidden="false" customHeight="false" outlineLevel="0" collapsed="false">
      <c r="A5" s="13" t="s">
        <v>200</v>
      </c>
      <c r="B5" s="62" t="n">
        <v>11500000</v>
      </c>
      <c r="C5" s="45" t="s">
        <v>201</v>
      </c>
    </row>
    <row r="6" customFormat="false" ht="15" hidden="false" customHeight="false" outlineLevel="0" collapsed="false">
      <c r="A6" s="43" t="s">
        <v>202</v>
      </c>
      <c r="B6" s="63" t="n">
        <f aca="false">ROUND(B5*0.046,0)</f>
        <v>529000</v>
      </c>
      <c r="C6" s="43" t="s">
        <v>203</v>
      </c>
    </row>
    <row r="7" customFormat="false" ht="15" hidden="false" customHeight="false" outlineLevel="0" collapsed="false">
      <c r="A7" s="43" t="s">
        <v>204</v>
      </c>
      <c r="B7" s="63" t="n">
        <f aca="false">ROUND(B5*0.009,0)</f>
        <v>103500</v>
      </c>
      <c r="C7" s="43" t="s">
        <v>205</v>
      </c>
    </row>
    <row r="8" customFormat="false" ht="15" hidden="false" customHeight="false" outlineLevel="0" collapsed="false">
      <c r="A8" s="43" t="s">
        <v>206</v>
      </c>
      <c r="B8" s="62" t="n">
        <v>25000</v>
      </c>
      <c r="C8" s="43" t="s">
        <v>207</v>
      </c>
    </row>
    <row r="9" customFormat="false" ht="15" hidden="false" customHeight="false" outlineLevel="0" collapsed="false">
      <c r="A9" s="43" t="s">
        <v>208</v>
      </c>
      <c r="B9" s="62" t="n">
        <v>15000</v>
      </c>
      <c r="C9" s="43" t="s">
        <v>207</v>
      </c>
    </row>
    <row r="10" customFormat="false" ht="15" hidden="false" customHeight="false" outlineLevel="0" collapsed="false">
      <c r="A10" s="54" t="s">
        <v>209</v>
      </c>
      <c r="B10" s="64" t="n">
        <f aca="false">SUM(B5:B9)</f>
        <v>12172500</v>
      </c>
      <c r="C10" s="65" t="s">
        <v>210</v>
      </c>
    </row>
    <row r="12" customFormat="false" ht="17.15" hidden="false" customHeight="false" outlineLevel="0" collapsed="false">
      <c r="A12" s="66" t="s">
        <v>211</v>
      </c>
    </row>
    <row r="13" customFormat="false" ht="30" hidden="false" customHeight="true" outlineLevel="0" collapsed="false">
      <c r="A13" s="12" t="s">
        <v>212</v>
      </c>
      <c r="B13" s="12" t="s">
        <v>213</v>
      </c>
      <c r="C13" s="12" t="s">
        <v>214</v>
      </c>
    </row>
    <row r="14" customFormat="false" ht="15" hidden="false" customHeight="false" outlineLevel="0" collapsed="false">
      <c r="A14" s="13" t="s">
        <v>215</v>
      </c>
      <c r="B14" s="43" t="s">
        <v>216</v>
      </c>
      <c r="C14" s="67" t="n">
        <f aca="false">28670*12/(B5-370000)</f>
        <v>0.030911051212938</v>
      </c>
    </row>
    <row r="15" customFormat="false" ht="15" hidden="false" customHeight="false" outlineLevel="0" collapsed="false">
      <c r="A15" s="13" t="s">
        <v>217</v>
      </c>
      <c r="B15" s="43" t="s">
        <v>142</v>
      </c>
      <c r="C15" s="67" t="n">
        <f aca="false">28670*12/B5</f>
        <v>0.0299165217391304</v>
      </c>
    </row>
    <row r="16" customFormat="false" ht="15" hidden="false" customHeight="false" outlineLevel="0" collapsed="false">
      <c r="A16" s="13" t="s">
        <v>218</v>
      </c>
      <c r="B16" s="45" t="s">
        <v>219</v>
      </c>
      <c r="C16" s="67" t="n">
        <f aca="false">28670*12*0.78/B5</f>
        <v>0.0233348869565217</v>
      </c>
    </row>
    <row r="17" customFormat="false" ht="15" hidden="false" customHeight="false" outlineLevel="0" collapsed="false">
      <c r="A17" s="13" t="s">
        <v>220</v>
      </c>
      <c r="B17" s="45" t="s">
        <v>221</v>
      </c>
      <c r="C17" s="67" t="n">
        <f aca="false">28670*12*0.78/B10</f>
        <v>0.0220456931608133</v>
      </c>
    </row>
    <row r="19" customFormat="false" ht="15" hidden="false" customHeight="false" outlineLevel="0" collapsed="false">
      <c r="A19" s="37" t="s">
        <v>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2026-08-03T04:26:30Z</dcterms:created>
  <dc:creator>openpyxl</dc:creator>
  <dc:description/>
  <dc:language>en-US</dc:language>
  <cp:lastModifiedBy/>
  <dcterms:modified xsi:type="dcterms:W3CDTF">2026-08-03T04:26:30Z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