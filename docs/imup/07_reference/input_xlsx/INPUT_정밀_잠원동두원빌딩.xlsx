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3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00_안내" sheetId="1" state="visible" r:id="rId3"/>
    <sheet name="01_필지_제척" sheetId="2" state="visible" r:id="rId4"/>
    <sheet name="02_층별현황" sheetId="3" state="visible" r:id="rId5"/>
    <sheet name="03_현재임대차" sheetId="4" state="visible" r:id="rId6"/>
    <sheet name="04_명도계획" sheetId="5" state="visible" r:id="rId7"/>
    <sheet name="05_비교사례" sheetId="6" state="visible" r:id="rId8"/>
    <sheet name="06_스태킹플랜" sheetId="7" state="visible" r:id="rId9"/>
    <sheet name="07_투입비용_상세" sheetId="8" state="visible" r:id="rId10"/>
    <sheet name="08_지가시나리오" sheetId="9" state="visible" r:id="rId11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<sst xmlns="http://schemas.openxmlformats.org/spreadsheetml/2006/main" count="399" uniqueCount="234">
  <si>
    <t xml:space="preserve">입력 안내</t>
  </si>
  <si>
    <r>
      <rPr>
        <sz val="9.5"/>
        <color rgb="FF7A8794"/>
        <rFont val="Arial"/>
        <family val="0"/>
        <charset val="1"/>
      </rPr>
      <t xml:space="preserve">CREDEAL IM Studio — </t>
    </r>
    <r>
      <rPr>
        <sz val="9.5"/>
        <color rgb="FF7A8794"/>
        <rFont val="Noto Sans CJK SC"/>
        <family val="2"/>
      </rPr>
      <t xml:space="preserve">이 워크북을 그대로 업로드하십시오</t>
    </r>
  </si>
  <si>
    <t xml:space="preserve">범례</t>
  </si>
  <si>
    <r>
      <rPr>
        <sz val="10"/>
        <color rgb="FF0000FF"/>
        <rFont val="Noto Sans CJK SC"/>
        <family val="2"/>
      </rPr>
      <t xml:space="preserve">파란 글씨 </t>
    </r>
    <r>
      <rPr>
        <sz val="10"/>
        <color rgb="FF0000FF"/>
        <rFont val="Arial"/>
        <family val="0"/>
        <charset val="1"/>
      </rPr>
      <t xml:space="preserve">= </t>
    </r>
    <r>
      <rPr>
        <sz val="10"/>
        <color rgb="FF0000FF"/>
        <rFont val="Noto Sans CJK SC"/>
        <family val="2"/>
      </rPr>
      <t xml:space="preserve">중개인이 입력하는 값</t>
    </r>
  </si>
  <si>
    <r>
      <rPr>
        <sz val="10"/>
        <rFont val="Noto Sans CJK SC"/>
        <family val="2"/>
      </rPr>
      <t xml:space="preserve">검은 글씨 </t>
    </r>
    <r>
      <rPr>
        <sz val="10"/>
        <rFont val="Arial"/>
        <family val="0"/>
        <charset val="1"/>
      </rPr>
      <t xml:space="preserve">= </t>
    </r>
    <r>
      <rPr>
        <sz val="10"/>
        <rFont val="Noto Sans CJK SC"/>
        <family val="2"/>
      </rPr>
      <t xml:space="preserve">수식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수정하지 마십시오</t>
    </r>
    <r>
      <rPr>
        <sz val="10"/>
        <rFont val="Arial"/>
        <family val="0"/>
        <charset val="1"/>
      </rPr>
      <t xml:space="preserve">)</t>
    </r>
  </si>
  <si>
    <r>
      <rPr>
        <sz val="10"/>
        <color rgb="FF008000"/>
        <rFont val="Noto Sans CJK SC"/>
        <family val="2"/>
      </rPr>
      <t xml:space="preserve">초록 글씨 </t>
    </r>
    <r>
      <rPr>
        <sz val="10"/>
        <color rgb="FF008000"/>
        <rFont val="Arial"/>
        <family val="0"/>
        <charset val="1"/>
      </rPr>
      <t xml:space="preserve">= </t>
    </r>
    <r>
      <rPr>
        <sz val="10"/>
        <color rgb="FF008000"/>
        <rFont val="Noto Sans CJK SC"/>
        <family val="2"/>
      </rPr>
      <t xml:space="preserve">다른 시트 참조</t>
    </r>
  </si>
  <si>
    <r>
      <rPr>
        <sz val="10"/>
        <rFont val="Noto Sans CJK SC"/>
        <family val="2"/>
      </rPr>
      <t xml:space="preserve">노란 배경 </t>
    </r>
    <r>
      <rPr>
        <sz val="10"/>
        <rFont val="Arial"/>
        <family val="0"/>
        <charset val="1"/>
      </rPr>
      <t xml:space="preserve">= </t>
    </r>
    <r>
      <rPr>
        <sz val="10"/>
        <rFont val="Noto Sans CJK SC"/>
        <family val="2"/>
      </rPr>
      <t xml:space="preserve">반드시 채워야 하는 필수 항목</t>
    </r>
  </si>
  <si>
    <t xml:space="preserve">시트 구성</t>
  </si>
  <si>
    <r>
      <rPr>
        <b val="true"/>
        <sz val="10"/>
        <rFont val="Arial"/>
        <family val="0"/>
        <charset val="1"/>
      </rPr>
      <t xml:space="preserve">01_</t>
    </r>
    <r>
      <rPr>
        <b val="true"/>
        <sz val="10"/>
        <rFont val="Noto Sans CJK SC"/>
        <family val="2"/>
      </rPr>
      <t xml:space="preserve">필지</t>
    </r>
    <r>
      <rPr>
        <b val="true"/>
        <sz val="10"/>
        <rFont val="Arial"/>
        <family val="0"/>
        <charset val="1"/>
      </rPr>
      <t xml:space="preserve">_</t>
    </r>
    <r>
      <rPr>
        <b val="true"/>
        <sz val="10"/>
        <rFont val="Noto Sans CJK SC"/>
        <family val="2"/>
      </rPr>
      <t xml:space="preserve">제척</t>
    </r>
  </si>
  <si>
    <r>
      <rPr>
        <sz val="10"/>
        <rFont val="Noto Sans CJK SC"/>
        <family val="2"/>
      </rPr>
      <t xml:space="preserve">토지대장 </t>
    </r>
    <r>
      <rPr>
        <sz val="10"/>
        <rFont val="Arial"/>
        <family val="0"/>
        <charset val="1"/>
      </rPr>
      <t xml:space="preserve">+ </t>
    </r>
    <r>
      <rPr>
        <sz val="10"/>
        <rFont val="Noto Sans CJK SC"/>
        <family val="2"/>
      </rPr>
      <t xml:space="preserve">제척 면적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유효 면적</t>
    </r>
  </si>
  <si>
    <r>
      <rPr>
        <b val="true"/>
        <sz val="10"/>
        <rFont val="Arial"/>
        <family val="0"/>
        <charset val="1"/>
      </rPr>
      <t xml:space="preserve">02_</t>
    </r>
    <r>
      <rPr>
        <b val="true"/>
        <sz val="10"/>
        <rFont val="Noto Sans CJK SC"/>
        <family val="2"/>
      </rPr>
      <t xml:space="preserve">층별현황</t>
    </r>
  </si>
  <si>
    <r>
      <rPr>
        <sz val="10"/>
        <rFont val="Noto Sans CJK SC"/>
        <family val="2"/>
      </rPr>
      <t xml:space="preserve">건축물대장 — 층별 용도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면적</t>
    </r>
  </si>
  <si>
    <r>
      <rPr>
        <b val="true"/>
        <sz val="10"/>
        <rFont val="Arial"/>
        <family val="0"/>
        <charset val="1"/>
      </rPr>
      <t xml:space="preserve">03_</t>
    </r>
    <r>
      <rPr>
        <b val="true"/>
        <sz val="10"/>
        <rFont val="Noto Sans CJK SC"/>
        <family val="2"/>
      </rPr>
      <t xml:space="preserve">현재임대차</t>
    </r>
  </si>
  <si>
    <r>
      <rPr>
        <sz val="10"/>
        <rFont val="Arial"/>
        <family val="0"/>
        <charset val="1"/>
      </rPr>
      <t xml:space="preserve">11</t>
    </r>
    <r>
      <rPr>
        <sz val="10"/>
        <rFont val="Noto Sans CJK SC"/>
        <family val="2"/>
      </rPr>
      <t xml:space="preserve">개 호실 정밀 </t>
    </r>
    <r>
      <rPr>
        <sz val="10"/>
        <rFont val="Arial"/>
        <family val="0"/>
        <charset val="1"/>
      </rPr>
      <t xml:space="preserve">18</t>
    </r>
    <r>
      <rPr>
        <sz val="10"/>
        <rFont val="Noto Sans CJK SC"/>
        <family val="2"/>
      </rPr>
      <t xml:space="preserve">필드 </t>
    </r>
    <r>
      <rPr>
        <sz val="10"/>
        <rFont val="Arial"/>
        <family val="0"/>
        <charset val="1"/>
      </rPr>
      <t xml:space="preserve">+ </t>
    </r>
    <r>
      <rPr>
        <sz val="10"/>
        <rFont val="Noto Sans CJK SC"/>
        <family val="2"/>
      </rPr>
      <t xml:space="preserve">환산보증금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상임법 판정</t>
    </r>
  </si>
  <si>
    <r>
      <rPr>
        <b val="true"/>
        <sz val="10"/>
        <rFont val="Arial"/>
        <family val="0"/>
        <charset val="1"/>
      </rPr>
      <t xml:space="preserve">04_</t>
    </r>
    <r>
      <rPr>
        <b val="true"/>
        <sz val="10"/>
        <rFont val="Noto Sans CJK SC"/>
        <family val="2"/>
      </rPr>
      <t xml:space="preserve">명도계획</t>
    </r>
  </si>
  <si>
    <r>
      <rPr>
        <sz val="10"/>
        <rFont val="Noto Sans CJK SC"/>
        <family val="2"/>
      </rPr>
      <t xml:space="preserve">갱신요구권 잔여 </t>
    </r>
    <r>
      <rPr>
        <sz val="10"/>
        <rFont val="Arial"/>
        <family val="0"/>
        <charset val="1"/>
      </rPr>
      <t xml:space="preserve">· </t>
    </r>
    <r>
      <rPr>
        <sz val="10"/>
        <rFont val="Noto Sans CJK SC"/>
        <family val="2"/>
      </rPr>
      <t xml:space="preserve">권리금 리스크 </t>
    </r>
    <r>
      <rPr>
        <sz val="10"/>
        <rFont val="Arial"/>
        <family val="0"/>
        <charset val="1"/>
      </rPr>
      <t xml:space="preserve">· </t>
    </r>
    <r>
      <rPr>
        <sz val="10"/>
        <rFont val="Noto Sans CJK SC"/>
        <family val="2"/>
      </rPr>
      <t xml:space="preserve">예상 명도비</t>
    </r>
  </si>
  <si>
    <r>
      <rPr>
        <b val="true"/>
        <sz val="10"/>
        <rFont val="Arial"/>
        <family val="0"/>
        <charset val="1"/>
      </rPr>
      <t xml:space="preserve">05_</t>
    </r>
    <r>
      <rPr>
        <b val="true"/>
        <sz val="10"/>
        <rFont val="Noto Sans CJK SC"/>
        <family val="2"/>
      </rPr>
      <t xml:space="preserve">비교사례</t>
    </r>
  </si>
  <si>
    <r>
      <rPr>
        <sz val="10"/>
        <rFont val="Noto Sans CJK SC"/>
        <family val="2"/>
      </rPr>
      <t xml:space="preserve">반경 </t>
    </r>
    <r>
      <rPr>
        <sz val="10"/>
        <rFont val="Arial"/>
        <family val="0"/>
        <charset val="1"/>
      </rPr>
      <t xml:space="preserve">150m </t>
    </r>
    <r>
      <rPr>
        <sz val="10"/>
        <rFont val="Noto Sans CJK SC"/>
        <family val="2"/>
      </rPr>
      <t xml:space="preserve">실거래 </t>
    </r>
    <r>
      <rPr>
        <sz val="10"/>
        <rFont val="Arial"/>
        <family val="0"/>
        <charset val="1"/>
      </rPr>
      <t xml:space="preserve">4</t>
    </r>
    <r>
      <rPr>
        <sz val="10"/>
        <rFont val="Noto Sans CJK SC"/>
        <family val="2"/>
      </rPr>
      <t xml:space="preserve">건 </t>
    </r>
    <r>
      <rPr>
        <sz val="10"/>
        <rFont val="Arial"/>
        <family val="0"/>
        <charset val="1"/>
      </rPr>
      <t xml:space="preserve">+ </t>
    </r>
    <r>
      <rPr>
        <sz val="10"/>
        <rFont val="Noto Sans CJK SC"/>
        <family val="2"/>
      </rPr>
      <t xml:space="preserve">권역 시세 밴드</t>
    </r>
  </si>
  <si>
    <r>
      <rPr>
        <b val="true"/>
        <sz val="10"/>
        <rFont val="Arial"/>
        <family val="0"/>
        <charset val="1"/>
      </rPr>
      <t xml:space="preserve">06_</t>
    </r>
    <r>
      <rPr>
        <b val="true"/>
        <sz val="10"/>
        <rFont val="Noto Sans CJK SC"/>
        <family val="2"/>
      </rPr>
      <t xml:space="preserve">스태킹플랜</t>
    </r>
  </si>
  <si>
    <t xml:space="preserve">신축 후 층별 임대 계획</t>
  </si>
  <si>
    <r>
      <rPr>
        <b val="true"/>
        <sz val="10"/>
        <color rgb="FFA33A3D"/>
        <rFont val="Noto Sans CJK SC"/>
        <family val="2"/>
      </rPr>
      <t xml:space="preserve">정밀 모드 — 첨부 </t>
    </r>
    <r>
      <rPr>
        <b val="true"/>
        <sz val="10"/>
        <color rgb="FFA33A3D"/>
        <rFont val="Arial"/>
        <family val="0"/>
        <charset val="1"/>
      </rPr>
      <t xml:space="preserve">IM</t>
    </r>
    <r>
      <rPr>
        <b val="true"/>
        <sz val="10"/>
        <color rgb="FFA33A3D"/>
        <rFont val="Noto Sans CJK SC"/>
        <family val="2"/>
      </rPr>
      <t xml:space="preserve">에 없는 항목을 테스트용으로 가상 증강했습니다</t>
    </r>
    <r>
      <rPr>
        <b val="true"/>
        <sz val="10"/>
        <color rgb="FFA33A3D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</si>
  <si>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취득 부대비용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취득세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중개보수 등</t>
    </r>
    <r>
      <rPr>
        <sz val="10"/>
        <rFont val="Arial"/>
        <family val="0"/>
        <charset val="1"/>
      </rPr>
      <t xml:space="preserve">) </t>
    </r>
    <r>
      <rPr>
        <sz val="10"/>
        <rFont val="Noto Sans CJK SC"/>
        <family val="2"/>
      </rPr>
      <t xml:space="preserve">포함</t>
    </r>
  </si>
  <si>
    <r>
      <rPr>
        <sz val="10"/>
        <color rgb="FF7A8794"/>
        <rFont val="Noto Sans CJK SC"/>
        <family val="2"/>
      </rPr>
      <t xml:space="preserve">증강 항목</t>
    </r>
    <r>
      <rPr>
        <sz val="10"/>
        <color rgb="FF7A8794"/>
        <rFont val="Arial"/>
        <family val="0"/>
        <charset val="1"/>
      </rPr>
      <t xml:space="preserve">: </t>
    </r>
    <r>
      <rPr>
        <sz val="10"/>
        <color rgb="FF7A8794"/>
        <rFont val="Noto Sans CJK SC"/>
        <family val="2"/>
      </rPr>
      <t xml:space="preserve">현재 임대차 </t>
    </r>
    <r>
      <rPr>
        <sz val="10"/>
        <color rgb="FF7A8794"/>
        <rFont val="Arial"/>
        <family val="0"/>
        <charset val="1"/>
      </rPr>
      <t xml:space="preserve">11</t>
    </r>
    <r>
      <rPr>
        <sz val="10"/>
        <color rgb="FF7A8794"/>
        <rFont val="Noto Sans CJK SC"/>
        <family val="2"/>
      </rPr>
      <t xml:space="preserve">호실 </t>
    </r>
    <r>
      <rPr>
        <sz val="10"/>
        <color rgb="FF7A8794"/>
        <rFont val="Arial"/>
        <family val="0"/>
        <charset val="1"/>
      </rPr>
      <t xml:space="preserve">· </t>
    </r>
    <r>
      <rPr>
        <sz val="10"/>
        <color rgb="FF7A8794"/>
        <rFont val="Noto Sans CJK SC"/>
        <family val="2"/>
      </rPr>
      <t xml:space="preserve">명도 계획 </t>
    </r>
    <r>
      <rPr>
        <sz val="10"/>
        <color rgb="FF7A8794"/>
        <rFont val="Arial"/>
        <family val="0"/>
        <charset val="1"/>
      </rPr>
      <t xml:space="preserve">· </t>
    </r>
    <r>
      <rPr>
        <sz val="10"/>
        <color rgb="FF7A8794"/>
        <rFont val="Noto Sans CJK SC"/>
        <family val="2"/>
      </rPr>
      <t xml:space="preserve">제척 면적 </t>
    </r>
    <r>
      <rPr>
        <sz val="10"/>
        <color rgb="FF7A8794"/>
        <rFont val="Arial"/>
        <family val="0"/>
        <charset val="1"/>
      </rPr>
      <t xml:space="preserve">· </t>
    </r>
    <r>
      <rPr>
        <sz val="10"/>
        <color rgb="FF7A8794"/>
        <rFont val="Noto Sans CJK SC"/>
        <family val="2"/>
      </rPr>
      <t xml:space="preserve">취득 부대비용 </t>
    </r>
    <r>
      <rPr>
        <sz val="10"/>
        <color rgb="FF7A8794"/>
        <rFont val="Arial"/>
        <family val="0"/>
        <charset val="1"/>
      </rPr>
      <t xml:space="preserve">· </t>
    </r>
    <r>
      <rPr>
        <sz val="10"/>
        <color rgb="FF7A8794"/>
        <rFont val="Noto Sans CJK SC"/>
        <family val="2"/>
      </rPr>
      <t xml:space="preserve">지가 시나리오</t>
    </r>
  </si>
  <si>
    <r>
      <rPr>
        <sz val="10"/>
        <rFont val="Noto Sans CJK SC"/>
        <family val="2"/>
      </rPr>
      <t xml:space="preserve">개별공시지가 추이 </t>
    </r>
    <r>
      <rPr>
        <sz val="10"/>
        <rFont val="Arial"/>
        <family val="0"/>
        <charset val="1"/>
      </rPr>
      <t xml:space="preserve">+ 4</t>
    </r>
    <r>
      <rPr>
        <sz val="10"/>
        <rFont val="Noto Sans CJK SC"/>
        <family val="2"/>
      </rPr>
      <t xml:space="preserve">개 시나리오</t>
    </r>
  </si>
  <si>
    <t xml:space="preserve">필지 정보</t>
  </si>
  <si>
    <r>
      <rPr>
        <sz val="9.5"/>
        <color rgb="FF7A8794"/>
        <rFont val="Noto Sans CJK SC"/>
        <family val="2"/>
      </rPr>
      <t xml:space="preserve">토지대장 자동 수집분 </t>
    </r>
    <r>
      <rPr>
        <sz val="9.5"/>
        <color rgb="FF7A8794"/>
        <rFont val="Arial"/>
        <family val="0"/>
        <charset val="1"/>
      </rPr>
      <t xml:space="preserve">+ </t>
    </r>
    <r>
      <rPr>
        <sz val="9.5"/>
        <color rgb="FF7A8794"/>
        <rFont val="Noto Sans CJK SC"/>
        <family val="2"/>
      </rPr>
      <t xml:space="preserve">제척 면적</t>
    </r>
    <r>
      <rPr>
        <sz val="9.5"/>
        <color rgb="FF7A8794"/>
        <rFont val="Arial"/>
        <family val="0"/>
        <charset val="1"/>
      </rPr>
      <t xml:space="preserve">(</t>
    </r>
    <r>
      <rPr>
        <sz val="9.5"/>
        <color rgb="FF7A8794"/>
        <rFont val="Noto Sans CJK SC"/>
        <family val="2"/>
      </rPr>
      <t xml:space="preserve">중개인 입력</t>
    </r>
    <r>
      <rPr>
        <sz val="9.5"/>
        <color rgb="FF7A8794"/>
        <rFont val="Arial"/>
        <family val="0"/>
        <charset val="1"/>
      </rPr>
      <t xml:space="preserve">)</t>
    </r>
  </si>
  <si>
    <t xml:space="preserve">지번</t>
  </si>
  <si>
    <t xml:space="preserve">지목</t>
  </si>
  <si>
    <r>
      <rPr>
        <b val="true"/>
        <sz val="9.5"/>
        <color rgb="FFFFFFFF"/>
        <rFont val="Noto Sans CJK SC"/>
        <family val="2"/>
      </rPr>
      <t xml:space="preserve">대장 면적</t>
    </r>
    <r>
      <rPr>
        <b val="true"/>
        <sz val="9.5"/>
        <color rgb="FFFFFFFF"/>
        <rFont val="Arial"/>
        <family val="0"/>
        <charset val="1"/>
      </rPr>
      <t xml:space="preserve">(</t>
    </r>
    <r>
      <rPr>
        <b val="true"/>
        <sz val="9.5"/>
        <color rgb="FFFFFFFF"/>
        <rFont val="Noto Sans CJK SC"/>
        <family val="2"/>
      </rPr>
      <t xml:space="preserve">㎡</t>
    </r>
    <r>
      <rPr>
        <b val="true"/>
        <sz val="9.5"/>
        <color rgb="FFFFFFFF"/>
        <rFont val="Arial"/>
        <family val="0"/>
        <charset val="1"/>
      </rPr>
      <t xml:space="preserve">)</t>
    </r>
  </si>
  <si>
    <r>
      <rPr>
        <b val="true"/>
        <sz val="9.5"/>
        <color rgb="FFFFFFFF"/>
        <rFont val="Noto Sans CJK SC"/>
        <family val="2"/>
      </rPr>
      <t xml:space="preserve">대장 면적</t>
    </r>
    <r>
      <rPr>
        <b val="true"/>
        <sz val="9.5"/>
        <color rgb="FFFFFFFF"/>
        <rFont val="Arial"/>
        <family val="0"/>
        <charset val="1"/>
      </rPr>
      <t xml:space="preserve">(</t>
    </r>
    <r>
      <rPr>
        <b val="true"/>
        <sz val="9.5"/>
        <color rgb="FFFFFFFF"/>
        <rFont val="Noto Sans CJK SC"/>
        <family val="2"/>
      </rPr>
      <t xml:space="preserve">평</t>
    </r>
    <r>
      <rPr>
        <b val="true"/>
        <sz val="9.5"/>
        <color rgb="FFFFFFFF"/>
        <rFont val="Arial"/>
        <family val="0"/>
        <charset val="1"/>
      </rPr>
      <t xml:space="preserve">)</t>
    </r>
  </si>
  <si>
    <r>
      <rPr>
        <b val="true"/>
        <sz val="9.5"/>
        <color rgb="FFFFFFFF"/>
        <rFont val="Noto Sans CJK SC"/>
        <family val="2"/>
      </rPr>
      <t xml:space="preserve">공시지가</t>
    </r>
    <r>
      <rPr>
        <b val="true"/>
        <sz val="9.5"/>
        <color rgb="FFFFFFFF"/>
        <rFont val="Arial"/>
        <family val="0"/>
        <charset val="1"/>
      </rPr>
      <t xml:space="preserve">(</t>
    </r>
    <r>
      <rPr>
        <b val="true"/>
        <sz val="9.5"/>
        <color rgb="FFFFFFFF"/>
        <rFont val="Noto Sans CJK SC"/>
        <family val="2"/>
      </rPr>
      <t xml:space="preserve">원</t>
    </r>
    <r>
      <rPr>
        <b val="true"/>
        <sz val="9.5"/>
        <color rgb="FFFFFFFF"/>
        <rFont val="Arial"/>
        <family val="0"/>
        <charset val="1"/>
      </rPr>
      <t xml:space="preserve">/</t>
    </r>
    <r>
      <rPr>
        <b val="true"/>
        <sz val="9.5"/>
        <color rgb="FFFFFFFF"/>
        <rFont val="Noto Sans CJK SC"/>
        <family val="2"/>
      </rPr>
      <t xml:space="preserve">평</t>
    </r>
    <r>
      <rPr>
        <b val="true"/>
        <sz val="9.5"/>
        <color rgb="FFFFFFFF"/>
        <rFont val="Arial"/>
        <family val="0"/>
        <charset val="1"/>
      </rPr>
      <t xml:space="preserve">)</t>
    </r>
  </si>
  <si>
    <t xml:space="preserve">소유 형태</t>
  </si>
  <si>
    <t xml:space="preserve">제척 사유</t>
  </si>
  <si>
    <r>
      <rPr>
        <b val="true"/>
        <sz val="9.5"/>
        <color rgb="FFFFFFFF"/>
        <rFont val="Noto Sans CJK SC"/>
        <family val="2"/>
      </rPr>
      <t xml:space="preserve">제척 면적</t>
    </r>
    <r>
      <rPr>
        <b val="true"/>
        <sz val="9.5"/>
        <color rgb="FFFFFFFF"/>
        <rFont val="Arial"/>
        <family val="0"/>
        <charset val="1"/>
      </rPr>
      <t xml:space="preserve">(</t>
    </r>
    <r>
      <rPr>
        <b val="true"/>
        <sz val="9.5"/>
        <color rgb="FFFFFFFF"/>
        <rFont val="Noto Sans CJK SC"/>
        <family val="2"/>
      </rPr>
      <t xml:space="preserve">㎡</t>
    </r>
    <r>
      <rPr>
        <b val="true"/>
        <sz val="9.5"/>
        <color rgb="FFFFFFFF"/>
        <rFont val="Arial"/>
        <family val="0"/>
        <charset val="1"/>
      </rPr>
      <t xml:space="preserve">)</t>
    </r>
  </si>
  <si>
    <t xml:space="preserve">용적률 산정 제외</t>
  </si>
  <si>
    <r>
      <rPr>
        <b val="true"/>
        <sz val="9.5"/>
        <color rgb="FFFFFFFF"/>
        <rFont val="Noto Sans CJK SC"/>
        <family val="2"/>
      </rPr>
      <t xml:space="preserve">유효 면적</t>
    </r>
    <r>
      <rPr>
        <b val="true"/>
        <sz val="9.5"/>
        <color rgb="FFFFFFFF"/>
        <rFont val="Arial"/>
        <family val="0"/>
        <charset val="1"/>
      </rPr>
      <t xml:space="preserve">(</t>
    </r>
    <r>
      <rPr>
        <b val="true"/>
        <sz val="9.5"/>
        <color rgb="FFFFFFFF"/>
        <rFont val="Noto Sans CJK SC"/>
        <family val="2"/>
      </rPr>
      <t xml:space="preserve">㎡</t>
    </r>
    <r>
      <rPr>
        <b val="true"/>
        <sz val="9.5"/>
        <color rgb="FFFFFFFF"/>
        <rFont val="Arial"/>
        <family val="0"/>
        <charset val="1"/>
      </rPr>
      <t xml:space="preserve">)</t>
    </r>
  </si>
  <si>
    <r>
      <rPr>
        <sz val="10"/>
        <color rgb="FF0000FF"/>
        <rFont val="Noto Sans CJK SC"/>
        <family val="2"/>
      </rPr>
      <t xml:space="preserve">잠원동 </t>
    </r>
    <r>
      <rPr>
        <sz val="10"/>
        <color rgb="FF0000FF"/>
        <rFont val="Arial"/>
        <family val="0"/>
        <charset val="1"/>
      </rPr>
      <t xml:space="preserve">26-14</t>
    </r>
  </si>
  <si>
    <t xml:space="preserve">대</t>
  </si>
  <si>
    <t xml:space="preserve">단독 소유</t>
  </si>
  <si>
    <t xml:space="preserve">해당 없음</t>
  </si>
  <si>
    <t xml:space="preserve">—</t>
  </si>
  <si>
    <r>
      <rPr>
        <sz val="10"/>
        <color rgb="FF0000FF"/>
        <rFont val="Noto Sans CJK SC"/>
        <family val="2"/>
      </rPr>
      <t xml:space="preserve">잠원동 </t>
    </r>
    <r>
      <rPr>
        <sz val="10"/>
        <color rgb="FF0000FF"/>
        <rFont val="Arial"/>
        <family val="0"/>
        <charset val="1"/>
      </rPr>
      <t xml:space="preserve">26-16</t>
    </r>
  </si>
  <si>
    <r>
      <rPr>
        <sz val="10"/>
        <color rgb="FF0000FF"/>
        <rFont val="Arial"/>
        <family val="0"/>
        <charset val="1"/>
      </rPr>
      <t xml:space="preserve">9M </t>
    </r>
    <r>
      <rPr>
        <sz val="10"/>
        <color rgb="FF0000FF"/>
        <rFont val="Noto Sans CJK SC"/>
        <family val="2"/>
      </rPr>
      <t xml:space="preserve">도로 확폭 계획 저촉</t>
    </r>
  </si>
  <si>
    <t xml:space="preserve">예</t>
  </si>
  <si>
    <t xml:space="preserve">합계</t>
  </si>
  <si>
    <r>
      <rPr>
        <sz val="9"/>
        <color rgb="FF7A8794"/>
        <rFont val="Noto Sans CJK SC"/>
        <family val="2"/>
      </rPr>
      <t xml:space="preserve">※ 공시지가는 </t>
    </r>
    <r>
      <rPr>
        <sz val="9"/>
        <color rgb="FF7A8794"/>
        <rFont val="Arial"/>
        <family val="0"/>
        <charset val="1"/>
      </rPr>
      <t xml:space="preserve">IM </t>
    </r>
    <r>
      <rPr>
        <sz val="9"/>
        <color rgb="FF7A8794"/>
        <rFont val="Noto Sans CJK SC"/>
        <family val="2"/>
      </rPr>
      <t xml:space="preserve">원본 표기</t>
    </r>
    <r>
      <rPr>
        <sz val="9"/>
        <color rgb="FF7A8794"/>
        <rFont val="Arial"/>
        <family val="0"/>
        <charset val="1"/>
      </rPr>
      <t xml:space="preserve">(</t>
    </r>
    <r>
      <rPr>
        <sz val="9"/>
        <color rgb="FF7A8794"/>
        <rFont val="Noto Sans CJK SC"/>
        <family val="2"/>
      </rPr>
      <t xml:space="preserve">원</t>
    </r>
    <r>
      <rPr>
        <sz val="9"/>
        <color rgb="FF7A8794"/>
        <rFont val="Arial"/>
        <family val="0"/>
        <charset val="1"/>
      </rPr>
      <t xml:space="preserve">/</t>
    </r>
    <r>
      <rPr>
        <sz val="9"/>
        <color rgb="FF7A8794"/>
        <rFont val="Noto Sans CJK SC"/>
        <family val="2"/>
      </rPr>
      <t xml:space="preserve">평</t>
    </r>
    <r>
      <rPr>
        <sz val="9"/>
        <color rgb="FF7A8794"/>
        <rFont val="Arial"/>
        <family val="0"/>
        <charset val="1"/>
      </rPr>
      <t xml:space="preserve">) </t>
    </r>
    <r>
      <rPr>
        <sz val="9"/>
        <color rgb="FF7A8794"/>
        <rFont val="Noto Sans CJK SC"/>
        <family val="2"/>
      </rPr>
      <t xml:space="preserve">그대로</t>
    </r>
    <r>
      <rPr>
        <sz val="9"/>
        <color rgb="FF7A8794"/>
        <rFont val="Arial"/>
        <family val="0"/>
        <charset val="1"/>
      </rPr>
      <t xml:space="preserve">. </t>
    </r>
    <r>
      <rPr>
        <sz val="9"/>
        <color rgb="FF7A8794"/>
        <rFont val="Noto Sans CJK SC"/>
        <family val="2"/>
      </rPr>
      <t xml:space="preserve">㎡당 환산은 </t>
    </r>
    <r>
      <rPr>
        <sz val="9"/>
        <color rgb="FF7A8794"/>
        <rFont val="Arial"/>
        <family val="0"/>
        <charset val="1"/>
      </rPr>
      <t xml:space="preserve">÷3.3058.</t>
    </r>
  </si>
  <si>
    <r>
      <rPr>
        <sz val="9"/>
        <color rgb="FFA33A3D"/>
        <rFont val="Noto Sans CJK SC"/>
        <family val="2"/>
      </rPr>
      <t xml:space="preserve">※ 제척 면적은 공부 </t>
    </r>
    <r>
      <rPr>
        <sz val="9"/>
        <color rgb="FFA33A3D"/>
        <rFont val="Arial"/>
        <family val="0"/>
        <charset val="1"/>
      </rPr>
      <t xml:space="preserve">API</t>
    </r>
    <r>
      <rPr>
        <sz val="9"/>
        <color rgb="FFA33A3D"/>
        <rFont val="Noto Sans CJK SC"/>
        <family val="2"/>
      </rPr>
      <t xml:space="preserve">로 수집되지 않습니다</t>
    </r>
    <r>
      <rPr>
        <sz val="9"/>
        <color rgb="FFA33A3D"/>
        <rFont val="Arial"/>
        <family val="0"/>
        <charset val="1"/>
      </rPr>
      <t xml:space="preserve">. </t>
    </r>
    <r>
      <rPr>
        <sz val="9"/>
        <color rgb="FFA33A3D"/>
        <rFont val="Noto Sans CJK SC"/>
        <family val="2"/>
      </rPr>
      <t xml:space="preserve">토지이용계획도 판독 후 중개인이 입력합니다</t>
    </r>
    <r>
      <rPr>
        <sz val="9"/>
        <color rgb="FFA33A3D"/>
        <rFont val="Arial"/>
        <family val="0"/>
        <charset val="1"/>
      </rPr>
      <t xml:space="preserve">. [</t>
    </r>
    <r>
      <rPr>
        <sz val="9"/>
        <color rgb="FFA33A3D"/>
        <rFont val="Noto Sans CJK SC"/>
        <family val="2"/>
      </rPr>
      <t xml:space="preserve">가상 증강 </t>
    </r>
    <r>
      <rPr>
        <sz val="9"/>
        <color rgb="FFA33A3D"/>
        <rFont val="Arial"/>
        <family val="0"/>
        <charset val="1"/>
      </rPr>
      <t xml:space="preserve">· </t>
    </r>
    <r>
      <rPr>
        <sz val="9"/>
        <color rgb="FFA33A3D"/>
        <rFont val="Noto Sans CJK SC"/>
        <family val="2"/>
      </rPr>
      <t xml:space="preserve">테스트용</t>
    </r>
    <r>
      <rPr>
        <sz val="9"/>
        <color rgb="FFA33A3D"/>
        <rFont val="Arial"/>
        <family val="0"/>
        <charset val="1"/>
      </rPr>
      <t xml:space="preserve">]</t>
    </r>
  </si>
  <si>
    <t xml:space="preserve">건축물 층별 현황</t>
  </si>
  <si>
    <t xml:space="preserve">건축물대장 자동 수집분</t>
  </si>
  <si>
    <t xml:space="preserve">층</t>
  </si>
  <si>
    <t xml:space="preserve">공부상 용도</t>
  </si>
  <si>
    <r>
      <rPr>
        <b val="true"/>
        <sz val="9.5"/>
        <color rgb="FFFFFFFF"/>
        <rFont val="Noto Sans CJK SC"/>
        <family val="2"/>
      </rPr>
      <t xml:space="preserve">면적</t>
    </r>
    <r>
      <rPr>
        <b val="true"/>
        <sz val="9.5"/>
        <color rgb="FFFFFFFF"/>
        <rFont val="Arial"/>
        <family val="0"/>
        <charset val="1"/>
      </rPr>
      <t xml:space="preserve">(</t>
    </r>
    <r>
      <rPr>
        <b val="true"/>
        <sz val="9.5"/>
        <color rgb="FFFFFFFF"/>
        <rFont val="Noto Sans CJK SC"/>
        <family val="2"/>
      </rPr>
      <t xml:space="preserve">평</t>
    </r>
    <r>
      <rPr>
        <b val="true"/>
        <sz val="9.5"/>
        <color rgb="FFFFFFFF"/>
        <rFont val="Arial"/>
        <family val="0"/>
        <charset val="1"/>
      </rPr>
      <t xml:space="preserve">)</t>
    </r>
  </si>
  <si>
    <r>
      <rPr>
        <b val="true"/>
        <sz val="9.5"/>
        <color rgb="FFFFFFFF"/>
        <rFont val="Noto Sans CJK SC"/>
        <family val="2"/>
      </rPr>
      <t xml:space="preserve">면적</t>
    </r>
    <r>
      <rPr>
        <b val="true"/>
        <sz val="9.5"/>
        <color rgb="FFFFFFFF"/>
        <rFont val="Arial"/>
        <family val="0"/>
        <charset val="1"/>
      </rPr>
      <t xml:space="preserve">(</t>
    </r>
    <r>
      <rPr>
        <b val="true"/>
        <sz val="9.5"/>
        <color rgb="FFFFFFFF"/>
        <rFont val="Noto Sans CJK SC"/>
        <family val="2"/>
      </rPr>
      <t xml:space="preserve">㎡</t>
    </r>
    <r>
      <rPr>
        <b val="true"/>
        <sz val="9.5"/>
        <color rgb="FFFFFFFF"/>
        <rFont val="Arial"/>
        <family val="0"/>
        <charset val="1"/>
      </rPr>
      <t xml:space="preserve">)</t>
    </r>
  </si>
  <si>
    <t xml:space="preserve">용적률 산정 포함</t>
  </si>
  <si>
    <r>
      <rPr>
        <sz val="10"/>
        <color rgb="FF0000FF"/>
        <rFont val="Noto Sans CJK SC"/>
        <family val="2"/>
      </rPr>
      <t xml:space="preserve">지하 </t>
    </r>
    <r>
      <rPr>
        <sz val="10"/>
        <color rgb="FF0000FF"/>
        <rFont val="Arial"/>
        <family val="0"/>
        <charset val="1"/>
      </rPr>
      <t xml:space="preserve">1</t>
    </r>
    <r>
      <rPr>
        <sz val="10"/>
        <color rgb="FF0000FF"/>
        <rFont val="Noto Sans CJK SC"/>
        <family val="2"/>
      </rPr>
      <t xml:space="preserve">층</t>
    </r>
  </si>
  <si>
    <r>
      <rPr>
        <sz val="10"/>
        <color rgb="FF0000FF"/>
        <rFont val="Noto Sans CJK SC"/>
        <family val="2"/>
      </rPr>
      <t xml:space="preserve">제</t>
    </r>
    <r>
      <rPr>
        <sz val="10"/>
        <color rgb="FF0000FF"/>
        <rFont val="Arial"/>
        <family val="0"/>
        <charset val="1"/>
      </rPr>
      <t xml:space="preserve">2</t>
    </r>
    <r>
      <rPr>
        <sz val="10"/>
        <color rgb="FF0000FF"/>
        <rFont val="Noto Sans CJK SC"/>
        <family val="2"/>
      </rPr>
      <t xml:space="preserve">종근린생활시설</t>
    </r>
  </si>
  <si>
    <r>
      <rPr>
        <sz val="10"/>
        <color rgb="FF0000FF"/>
        <rFont val="Noto Sans CJK SC"/>
        <family val="2"/>
      </rPr>
      <t xml:space="preserve">지상 </t>
    </r>
    <r>
      <rPr>
        <sz val="10"/>
        <color rgb="FF0000FF"/>
        <rFont val="Arial"/>
        <family val="0"/>
        <charset val="1"/>
      </rPr>
      <t xml:space="preserve">1</t>
    </r>
    <r>
      <rPr>
        <sz val="10"/>
        <color rgb="FF0000FF"/>
        <rFont val="Noto Sans CJK SC"/>
        <family val="2"/>
      </rPr>
      <t xml:space="preserve">층</t>
    </r>
  </si>
  <si>
    <t xml:space="preserve">소매점</t>
  </si>
  <si>
    <t xml:space="preserve">휴게음식점</t>
  </si>
  <si>
    <t xml:space="preserve">부동산중개업소</t>
  </si>
  <si>
    <t xml:space="preserve">주차장</t>
  </si>
  <si>
    <t xml:space="preserve">아니오</t>
  </si>
  <si>
    <r>
      <rPr>
        <sz val="10"/>
        <color rgb="FF0000FF"/>
        <rFont val="Noto Sans CJK SC"/>
        <family val="2"/>
      </rPr>
      <t xml:space="preserve">지상 </t>
    </r>
    <r>
      <rPr>
        <sz val="10"/>
        <color rgb="FF0000FF"/>
        <rFont val="Arial"/>
        <family val="0"/>
        <charset val="1"/>
      </rPr>
      <t xml:space="preserve">2</t>
    </r>
    <r>
      <rPr>
        <sz val="10"/>
        <color rgb="FF0000FF"/>
        <rFont val="Noto Sans CJK SC"/>
        <family val="2"/>
      </rPr>
      <t xml:space="preserve">층</t>
    </r>
  </si>
  <si>
    <t xml:space="preserve">일반음식점</t>
  </si>
  <si>
    <r>
      <rPr>
        <sz val="10"/>
        <color rgb="FF0000FF"/>
        <rFont val="Noto Sans CJK SC"/>
        <family val="2"/>
      </rPr>
      <t xml:space="preserve">지상 </t>
    </r>
    <r>
      <rPr>
        <sz val="10"/>
        <color rgb="FF0000FF"/>
        <rFont val="Arial"/>
        <family val="0"/>
        <charset val="1"/>
      </rPr>
      <t xml:space="preserve">3</t>
    </r>
    <r>
      <rPr>
        <sz val="10"/>
        <color rgb="FF0000FF"/>
        <rFont val="Noto Sans CJK SC"/>
        <family val="2"/>
      </rPr>
      <t xml:space="preserve">층</t>
    </r>
  </si>
  <si>
    <t xml:space="preserve">사무소</t>
  </si>
  <si>
    <t xml:space="preserve">의원</t>
  </si>
  <si>
    <r>
      <rPr>
        <sz val="10"/>
        <color rgb="FF0000FF"/>
        <rFont val="Noto Sans CJK SC"/>
        <family val="2"/>
      </rPr>
      <t xml:space="preserve">지상 </t>
    </r>
    <r>
      <rPr>
        <sz val="10"/>
        <color rgb="FF0000FF"/>
        <rFont val="Arial"/>
        <family val="0"/>
        <charset val="1"/>
      </rPr>
      <t xml:space="preserve">4</t>
    </r>
    <r>
      <rPr>
        <sz val="10"/>
        <color rgb="FF0000FF"/>
        <rFont val="Noto Sans CJK SC"/>
        <family val="2"/>
      </rPr>
      <t xml:space="preserve">층</t>
    </r>
  </si>
  <si>
    <r>
      <rPr>
        <sz val="10"/>
        <color rgb="FF0000FF"/>
        <rFont val="Noto Sans CJK SC"/>
        <family val="2"/>
      </rPr>
      <t xml:space="preserve">지상 </t>
    </r>
    <r>
      <rPr>
        <sz val="10"/>
        <color rgb="FF0000FF"/>
        <rFont val="Arial"/>
        <family val="0"/>
        <charset val="1"/>
      </rPr>
      <t xml:space="preserve">5</t>
    </r>
    <r>
      <rPr>
        <sz val="10"/>
        <color rgb="FF0000FF"/>
        <rFont val="Noto Sans CJK SC"/>
        <family val="2"/>
      </rPr>
      <t xml:space="preserve">층</t>
    </r>
  </si>
  <si>
    <t xml:space="preserve">학원</t>
  </si>
  <si>
    <r>
      <rPr>
        <sz val="9"/>
        <color rgb="FF7A8794"/>
        <rFont val="Noto Sans CJK SC"/>
        <family val="2"/>
      </rPr>
      <t xml:space="preserve">※ 연면적 </t>
    </r>
    <r>
      <rPr>
        <sz val="9"/>
        <color rgb="FF7A8794"/>
        <rFont val="Arial"/>
        <family val="0"/>
        <charset val="1"/>
      </rPr>
      <t xml:space="preserve">614.86</t>
    </r>
    <r>
      <rPr>
        <sz val="9"/>
        <color rgb="FF7A8794"/>
        <rFont val="Noto Sans CJK SC"/>
        <family val="2"/>
      </rPr>
      <t xml:space="preserve">평 </t>
    </r>
    <r>
      <rPr>
        <sz val="9"/>
        <color rgb="FF7A8794"/>
        <rFont val="Arial"/>
        <family val="0"/>
        <charset val="1"/>
      </rPr>
      <t xml:space="preserve">· </t>
    </r>
    <r>
      <rPr>
        <sz val="9"/>
        <color rgb="FF7A8794"/>
        <rFont val="Noto Sans CJK SC"/>
        <family val="2"/>
      </rPr>
      <t xml:space="preserve">용적률상 연면적 </t>
    </r>
    <r>
      <rPr>
        <sz val="9"/>
        <color rgb="FF7A8794"/>
        <rFont val="Arial"/>
        <family val="0"/>
        <charset val="1"/>
      </rPr>
      <t xml:space="preserve">606.87</t>
    </r>
    <r>
      <rPr>
        <sz val="9"/>
        <color rgb="FF7A8794"/>
        <rFont val="Noto Sans CJK SC"/>
        <family val="2"/>
      </rPr>
      <t xml:space="preserve">평</t>
    </r>
    <r>
      <rPr>
        <sz val="9"/>
        <color rgb="FF7A8794"/>
        <rFont val="Arial"/>
        <family val="0"/>
        <charset val="1"/>
      </rPr>
      <t xml:space="preserve">(</t>
    </r>
    <r>
      <rPr>
        <sz val="9"/>
        <color rgb="FF7A8794"/>
        <rFont val="Noto Sans CJK SC"/>
        <family val="2"/>
      </rPr>
      <t xml:space="preserve">주차장 </t>
    </r>
    <r>
      <rPr>
        <sz val="9"/>
        <color rgb="FF7A8794"/>
        <rFont val="Arial"/>
        <family val="0"/>
        <charset val="1"/>
      </rPr>
      <t xml:space="preserve">7.99</t>
    </r>
    <r>
      <rPr>
        <sz val="9"/>
        <color rgb="FF7A8794"/>
        <rFont val="Noto Sans CJK SC"/>
        <family val="2"/>
      </rPr>
      <t xml:space="preserve">평 제외</t>
    </r>
    <r>
      <rPr>
        <sz val="9"/>
        <color rgb="FF7A8794"/>
        <rFont val="Arial"/>
        <family val="0"/>
        <charset val="1"/>
      </rPr>
      <t xml:space="preserve">) · </t>
    </r>
    <r>
      <rPr>
        <sz val="9"/>
        <color rgb="FF7A8794"/>
        <rFont val="Noto Sans CJK SC"/>
        <family val="2"/>
      </rPr>
      <t xml:space="preserve">지상층 합 </t>
    </r>
    <r>
      <rPr>
        <sz val="9"/>
        <color rgb="FF7A8794"/>
        <rFont val="Arial"/>
        <family val="0"/>
        <charset val="1"/>
      </rPr>
      <t xml:space="preserve">460.30</t>
    </r>
    <r>
      <rPr>
        <sz val="9"/>
        <color rgb="FF7A8794"/>
        <rFont val="Noto Sans CJK SC"/>
        <family val="2"/>
      </rPr>
      <t xml:space="preserve">평</t>
    </r>
  </si>
  <si>
    <r>
      <rPr>
        <sz val="9"/>
        <color rgb="FF8E6A20"/>
        <rFont val="Arial"/>
        <family val="0"/>
        <charset val="1"/>
      </rPr>
      <t xml:space="preserve">※ IM </t>
    </r>
    <r>
      <rPr>
        <sz val="9"/>
        <color rgb="FF8E6A20"/>
        <rFont val="Noto Sans CJK SC"/>
        <family val="2"/>
      </rPr>
      <t xml:space="preserve">원본의 </t>
    </r>
    <r>
      <rPr>
        <sz val="9"/>
        <color rgb="FF8E6A20"/>
        <rFont val="Arial"/>
        <family val="0"/>
        <charset val="1"/>
      </rPr>
      <t xml:space="preserve">"</t>
    </r>
    <r>
      <rPr>
        <sz val="9"/>
        <color rgb="FF8E6A20"/>
        <rFont val="Noto Sans CJK SC"/>
        <family val="2"/>
      </rPr>
      <t xml:space="preserve">실질 용적률 약 </t>
    </r>
    <r>
      <rPr>
        <sz val="9"/>
        <color rgb="FF8E6A20"/>
        <rFont val="Arial"/>
        <family val="0"/>
        <charset val="1"/>
      </rPr>
      <t xml:space="preserve">247%"</t>
    </r>
    <r>
      <rPr>
        <sz val="9"/>
        <color rgb="FF8E6A20"/>
        <rFont val="Noto Sans CJK SC"/>
        <family val="2"/>
      </rPr>
      <t xml:space="preserve">는 지하층을 제외한 지상 연면적 기준입니다 </t>
    </r>
    <r>
      <rPr>
        <sz val="9"/>
        <color rgb="FF8E6A20"/>
        <rFont val="Arial"/>
        <family val="0"/>
        <charset val="1"/>
      </rPr>
      <t xml:space="preserve">(460.30</t>
    </r>
    <r>
      <rPr>
        <sz val="9"/>
        <color rgb="FF8E6A20"/>
        <rFont val="Noto Sans CJK SC"/>
        <family val="2"/>
      </rPr>
      <t xml:space="preserve">평 </t>
    </r>
    <r>
      <rPr>
        <sz val="9"/>
        <color rgb="FF8E6A20"/>
        <rFont val="Arial"/>
        <family val="0"/>
        <charset val="1"/>
      </rPr>
      <t xml:space="preserve">× 3.3058 ÷ 616.1</t>
    </r>
    <r>
      <rPr>
        <sz val="9"/>
        <color rgb="FF8E6A20"/>
        <rFont val="Noto Sans CJK SC"/>
        <family val="2"/>
      </rPr>
      <t xml:space="preserve">㎡</t>
    </r>
    <r>
      <rPr>
        <sz val="9"/>
        <color rgb="FF8E6A20"/>
        <rFont val="Arial"/>
        <family val="0"/>
        <charset val="1"/>
      </rPr>
      <t xml:space="preserve">).</t>
    </r>
  </si>
  <si>
    <r>
      <rPr>
        <b val="true"/>
        <sz val="14"/>
        <color rgb="FF1F3A5F"/>
        <rFont val="Noto Sans CJK SC"/>
        <family val="2"/>
      </rPr>
      <t xml:space="preserve">현재 임대차 현황 </t>
    </r>
    <r>
      <rPr>
        <b val="true"/>
        <sz val="14"/>
        <color rgb="FF1F3A5F"/>
        <rFont val="Arial"/>
        <family val="0"/>
        <charset val="1"/>
      </rPr>
      <t xml:space="preserve">(</t>
    </r>
    <r>
      <rPr>
        <b val="true"/>
        <sz val="14"/>
        <color rgb="FF1F3A5F"/>
        <rFont val="Noto Sans CJK SC"/>
        <family val="2"/>
      </rPr>
      <t xml:space="preserve">정밀 모드</t>
    </r>
    <r>
      <rPr>
        <b val="true"/>
        <sz val="14"/>
        <color rgb="FF1F3A5F"/>
        <rFont val="Arial"/>
        <family val="0"/>
        <charset val="1"/>
      </rPr>
      <t xml:space="preserve">)</t>
    </r>
  </si>
  <si>
    <r>
      <rPr>
        <sz val="9.5"/>
        <color rgb="FF7A8794"/>
        <rFont val="Noto Sans CJK SC"/>
        <family val="2"/>
      </rPr>
      <t xml:space="preserve">명도 조건 매각이나</t>
    </r>
    <r>
      <rPr>
        <sz val="9.5"/>
        <color rgb="FF7A8794"/>
        <rFont val="Arial"/>
        <family val="0"/>
        <charset val="1"/>
      </rPr>
      <t xml:space="preserve">, </t>
    </r>
    <r>
      <rPr>
        <sz val="9.5"/>
        <color rgb="FF7A8794"/>
        <rFont val="Noto Sans CJK SC"/>
        <family val="2"/>
      </rPr>
      <t xml:space="preserve">명도비</t>
    </r>
    <r>
      <rPr>
        <sz val="9.5"/>
        <color rgb="FF7A8794"/>
        <rFont val="Arial"/>
        <family val="0"/>
        <charset val="1"/>
      </rPr>
      <t xml:space="preserve">·</t>
    </r>
    <r>
      <rPr>
        <sz val="9.5"/>
        <color rgb="FF7A8794"/>
        <rFont val="Noto Sans CJK SC"/>
        <family val="2"/>
      </rPr>
      <t xml:space="preserve">명도기간 산정을 위해 필수  </t>
    </r>
    <r>
      <rPr>
        <sz val="9.5"/>
        <color rgb="FF7A8794"/>
        <rFont val="Arial"/>
        <family val="0"/>
        <charset val="1"/>
      </rPr>
      <t xml:space="preserve">[</t>
    </r>
    <r>
      <rPr>
        <sz val="9.5"/>
        <color rgb="FF7A8794"/>
        <rFont val="Noto Sans CJK SC"/>
        <family val="2"/>
      </rPr>
      <t xml:space="preserve">가상 증강 </t>
    </r>
    <r>
      <rPr>
        <sz val="9.5"/>
        <color rgb="FF7A8794"/>
        <rFont val="Arial"/>
        <family val="0"/>
        <charset val="1"/>
      </rPr>
      <t xml:space="preserve">· </t>
    </r>
    <r>
      <rPr>
        <sz val="9.5"/>
        <color rgb="FF7A8794"/>
        <rFont val="Noto Sans CJK SC"/>
        <family val="2"/>
      </rPr>
      <t xml:space="preserve">테스트용</t>
    </r>
    <r>
      <rPr>
        <sz val="9.5"/>
        <color rgb="FF7A8794"/>
        <rFont val="Arial"/>
        <family val="0"/>
        <charset val="1"/>
      </rPr>
      <t xml:space="preserve">]</t>
    </r>
  </si>
  <si>
    <t xml:space="preserve">호수</t>
  </si>
  <si>
    <t xml:space="preserve">업종</t>
  </si>
  <si>
    <r>
      <rPr>
        <b val="true"/>
        <sz val="9.5"/>
        <color rgb="FFFFFFFF"/>
        <rFont val="Noto Sans CJK SC"/>
        <family val="2"/>
      </rPr>
      <t xml:space="preserve">계약면적</t>
    </r>
    <r>
      <rPr>
        <b val="true"/>
        <sz val="9.5"/>
        <color rgb="FFFFFFFF"/>
        <rFont val="Arial"/>
        <family val="0"/>
        <charset val="1"/>
      </rPr>
      <t xml:space="preserve">(</t>
    </r>
    <r>
      <rPr>
        <b val="true"/>
        <sz val="9.5"/>
        <color rgb="FFFFFFFF"/>
        <rFont val="Noto Sans CJK SC"/>
        <family val="2"/>
      </rPr>
      <t xml:space="preserve">평</t>
    </r>
    <r>
      <rPr>
        <b val="true"/>
        <sz val="9.5"/>
        <color rgb="FFFFFFFF"/>
        <rFont val="Arial"/>
        <family val="0"/>
        <charset val="1"/>
      </rPr>
      <t xml:space="preserve">)</t>
    </r>
  </si>
  <si>
    <r>
      <rPr>
        <b val="true"/>
        <sz val="9.5"/>
        <color rgb="FFFFFFFF"/>
        <rFont val="Noto Sans CJK SC"/>
        <family val="2"/>
      </rPr>
      <t xml:space="preserve">전용면적</t>
    </r>
    <r>
      <rPr>
        <b val="true"/>
        <sz val="9.5"/>
        <color rgb="FFFFFFFF"/>
        <rFont val="Arial"/>
        <family val="0"/>
        <charset val="1"/>
      </rPr>
      <t xml:space="preserve">(</t>
    </r>
    <r>
      <rPr>
        <b val="true"/>
        <sz val="9.5"/>
        <color rgb="FFFFFFFF"/>
        <rFont val="Noto Sans CJK SC"/>
        <family val="2"/>
      </rPr>
      <t xml:space="preserve">평</t>
    </r>
    <r>
      <rPr>
        <b val="true"/>
        <sz val="9.5"/>
        <color rgb="FFFFFFFF"/>
        <rFont val="Arial"/>
        <family val="0"/>
        <charset val="1"/>
      </rPr>
      <t xml:space="preserve">)</t>
    </r>
  </si>
  <si>
    <t xml:space="preserve">전용률</t>
  </si>
  <si>
    <r>
      <rPr>
        <b val="true"/>
        <sz val="9.5"/>
        <color rgb="FFFFFFFF"/>
        <rFont val="Noto Sans CJK SC"/>
        <family val="2"/>
      </rPr>
      <t xml:space="preserve">보증금</t>
    </r>
    <r>
      <rPr>
        <b val="true"/>
        <sz val="9.5"/>
        <color rgb="FFFFFFFF"/>
        <rFont val="Arial"/>
        <family val="0"/>
        <charset val="1"/>
      </rPr>
      <t xml:space="preserve">(</t>
    </r>
    <r>
      <rPr>
        <b val="true"/>
        <sz val="9.5"/>
        <color rgb="FFFFFFFF"/>
        <rFont val="Noto Sans CJK SC"/>
        <family val="2"/>
      </rPr>
      <t xml:space="preserve">원</t>
    </r>
    <r>
      <rPr>
        <b val="true"/>
        <sz val="9.5"/>
        <color rgb="FFFFFFFF"/>
        <rFont val="Arial"/>
        <family val="0"/>
        <charset val="1"/>
      </rPr>
      <t xml:space="preserve">)</t>
    </r>
  </si>
  <si>
    <r>
      <rPr>
        <b val="true"/>
        <sz val="9.5"/>
        <color rgb="FFFFFFFF"/>
        <rFont val="Noto Sans CJK SC"/>
        <family val="2"/>
      </rPr>
      <t xml:space="preserve">월 임대료</t>
    </r>
    <r>
      <rPr>
        <b val="true"/>
        <sz val="9.5"/>
        <color rgb="FFFFFFFF"/>
        <rFont val="Arial"/>
        <family val="0"/>
        <charset val="1"/>
      </rPr>
      <t xml:space="preserve">(</t>
    </r>
    <r>
      <rPr>
        <b val="true"/>
        <sz val="9.5"/>
        <color rgb="FFFFFFFF"/>
        <rFont val="Noto Sans CJK SC"/>
        <family val="2"/>
      </rPr>
      <t xml:space="preserve">원</t>
    </r>
    <r>
      <rPr>
        <b val="true"/>
        <sz val="9.5"/>
        <color rgb="FFFFFFFF"/>
        <rFont val="Arial"/>
        <family val="0"/>
        <charset val="1"/>
      </rPr>
      <t xml:space="preserve">)</t>
    </r>
  </si>
  <si>
    <r>
      <rPr>
        <b val="true"/>
        <sz val="9.5"/>
        <color rgb="FFFFFFFF"/>
        <rFont val="Noto Sans CJK SC"/>
        <family val="2"/>
      </rPr>
      <t xml:space="preserve">월 관리비</t>
    </r>
    <r>
      <rPr>
        <b val="true"/>
        <sz val="9.5"/>
        <color rgb="FFFFFFFF"/>
        <rFont val="Arial"/>
        <family val="0"/>
        <charset val="1"/>
      </rPr>
      <t xml:space="preserve">(</t>
    </r>
    <r>
      <rPr>
        <b val="true"/>
        <sz val="9.5"/>
        <color rgb="FFFFFFFF"/>
        <rFont val="Noto Sans CJK SC"/>
        <family val="2"/>
      </rPr>
      <t xml:space="preserve">원</t>
    </r>
    <r>
      <rPr>
        <b val="true"/>
        <sz val="9.5"/>
        <color rgb="FFFFFFFF"/>
        <rFont val="Arial"/>
        <family val="0"/>
        <charset val="1"/>
      </rPr>
      <t xml:space="preserve">)</t>
    </r>
  </si>
  <si>
    <r>
      <rPr>
        <b val="true"/>
        <sz val="9.5"/>
        <color rgb="FFFFFFFF"/>
        <rFont val="Noto Sans CJK SC"/>
        <family val="2"/>
      </rPr>
      <t xml:space="preserve">평당 월세</t>
    </r>
    <r>
      <rPr>
        <b val="true"/>
        <sz val="9.5"/>
        <color rgb="FFFFFFFF"/>
        <rFont val="Arial"/>
        <family val="0"/>
        <charset val="1"/>
      </rPr>
      <t xml:space="preserve">(</t>
    </r>
    <r>
      <rPr>
        <b val="true"/>
        <sz val="9.5"/>
        <color rgb="FFFFFFFF"/>
        <rFont val="Noto Sans CJK SC"/>
        <family val="2"/>
      </rPr>
      <t xml:space="preserve">원</t>
    </r>
    <r>
      <rPr>
        <b val="true"/>
        <sz val="9.5"/>
        <color rgb="FFFFFFFF"/>
        <rFont val="Arial"/>
        <family val="0"/>
        <charset val="1"/>
      </rPr>
      <t xml:space="preserve">)</t>
    </r>
  </si>
  <si>
    <t xml:space="preserve">최초 계약일</t>
  </si>
  <si>
    <t xml:space="preserve">만기일</t>
  </si>
  <si>
    <r>
      <rPr>
        <b val="true"/>
        <sz val="9.5"/>
        <color rgb="FFFFFFFF"/>
        <rFont val="Noto Sans CJK SC"/>
        <family val="2"/>
      </rPr>
      <t xml:space="preserve">환산보증금</t>
    </r>
    <r>
      <rPr>
        <b val="true"/>
        <sz val="9.5"/>
        <color rgb="FFFFFFFF"/>
        <rFont val="Arial"/>
        <family val="0"/>
        <charset val="1"/>
      </rPr>
      <t xml:space="preserve">(</t>
    </r>
    <r>
      <rPr>
        <b val="true"/>
        <sz val="9.5"/>
        <color rgb="FFFFFFFF"/>
        <rFont val="Noto Sans CJK SC"/>
        <family val="2"/>
      </rPr>
      <t xml:space="preserve">원</t>
    </r>
    <r>
      <rPr>
        <b val="true"/>
        <sz val="9.5"/>
        <color rgb="FFFFFFFF"/>
        <rFont val="Arial"/>
        <family val="0"/>
        <charset val="1"/>
      </rPr>
      <t xml:space="preserve">)</t>
    </r>
  </si>
  <si>
    <t xml:space="preserve">상임법 적용</t>
  </si>
  <si>
    <t xml:space="preserve">명도 협의</t>
  </si>
  <si>
    <t xml:space="preserve">B1</t>
  </si>
  <si>
    <t xml:space="preserve">B101</t>
  </si>
  <si>
    <t xml:space="preserve">주점</t>
  </si>
  <si>
    <t xml:space="preserve">2019-03</t>
  </si>
  <si>
    <t xml:space="preserve">2027-03</t>
  </si>
  <si>
    <t xml:space="preserve">협의 중</t>
  </si>
  <si>
    <t xml:space="preserve">B102</t>
  </si>
  <si>
    <t xml:space="preserve">창고</t>
  </si>
  <si>
    <t xml:space="preserve">2015-06</t>
  </si>
  <si>
    <t xml:space="preserve">2026-12</t>
  </si>
  <si>
    <t xml:space="preserve">합의 완료</t>
  </si>
  <si>
    <t xml:space="preserve">1F</t>
  </si>
  <si>
    <t xml:space="preserve">101</t>
  </si>
  <si>
    <t xml:space="preserve">2022-09</t>
  </si>
  <si>
    <t xml:space="preserve">2027-09</t>
  </si>
  <si>
    <t xml:space="preserve">미협의</t>
  </si>
  <si>
    <t xml:space="preserve">102</t>
  </si>
  <si>
    <t xml:space="preserve">2023-11</t>
  </si>
  <si>
    <t xml:space="preserve">2028-11</t>
  </si>
  <si>
    <t xml:space="preserve">103</t>
  </si>
  <si>
    <t xml:space="preserve">2021-04</t>
  </si>
  <si>
    <t xml:space="preserve">2027-04</t>
  </si>
  <si>
    <t xml:space="preserve">2F</t>
  </si>
  <si>
    <t xml:space="preserve">201</t>
  </si>
  <si>
    <t xml:space="preserve">2020-07</t>
  </si>
  <si>
    <t xml:space="preserve">2027-07</t>
  </si>
  <si>
    <t xml:space="preserve">3F</t>
  </si>
  <si>
    <t xml:space="preserve">301</t>
  </si>
  <si>
    <t xml:space="preserve">2024-02</t>
  </si>
  <si>
    <t xml:space="preserve">2028-02</t>
  </si>
  <si>
    <t xml:space="preserve">302</t>
  </si>
  <si>
    <t xml:space="preserve">2018-11</t>
  </si>
  <si>
    <t xml:space="preserve">2026-11</t>
  </si>
  <si>
    <t xml:space="preserve">4F</t>
  </si>
  <si>
    <t xml:space="preserve">401</t>
  </si>
  <si>
    <t xml:space="preserve">2016-03</t>
  </si>
  <si>
    <t xml:space="preserve">5F</t>
  </si>
  <si>
    <t xml:space="preserve">501</t>
  </si>
  <si>
    <t xml:space="preserve">2021-09</t>
  </si>
  <si>
    <t xml:space="preserve">502</t>
  </si>
  <si>
    <t xml:space="preserve">2017-05</t>
  </si>
  <si>
    <t xml:space="preserve">2027-05</t>
  </si>
  <si>
    <t xml:space="preserve">기준값</t>
  </si>
  <si>
    <r>
      <rPr>
        <sz val="10"/>
        <rFont val="Noto Sans CJK SC"/>
        <family val="2"/>
      </rPr>
      <t xml:space="preserve">서울 환산보증금 기준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원</t>
    </r>
    <r>
      <rPr>
        <sz val="10"/>
        <rFont val="Arial"/>
        <family val="0"/>
        <charset val="1"/>
      </rPr>
      <t xml:space="preserve">)</t>
    </r>
  </si>
  <si>
    <r>
      <rPr>
        <sz val="9"/>
        <color rgb="FFA33A3D"/>
        <rFont val="Noto Sans CJK SC"/>
        <family val="2"/>
      </rPr>
      <t xml:space="preserve">※ 첨부 </t>
    </r>
    <r>
      <rPr>
        <sz val="9"/>
        <color rgb="FFA33A3D"/>
        <rFont val="Arial"/>
        <family val="0"/>
        <charset val="1"/>
      </rPr>
      <t xml:space="preserve">IM</t>
    </r>
    <r>
      <rPr>
        <sz val="9"/>
        <color rgb="FFA33A3D"/>
        <rFont val="Noto Sans CJK SC"/>
        <family val="2"/>
      </rPr>
      <t xml:space="preserve">에는 현재 임대차 정보가 없습니다</t>
    </r>
    <r>
      <rPr>
        <sz val="9"/>
        <color rgb="FFA33A3D"/>
        <rFont val="Arial"/>
        <family val="0"/>
        <charset val="1"/>
      </rPr>
      <t xml:space="preserve">(</t>
    </r>
    <r>
      <rPr>
        <sz val="9"/>
        <color rgb="FFA33A3D"/>
        <rFont val="Noto Sans CJK SC"/>
        <family val="2"/>
      </rPr>
      <t xml:space="preserve">매도인 명도 조건</t>
    </r>
    <r>
      <rPr>
        <sz val="9"/>
        <color rgb="FFA33A3D"/>
        <rFont val="Arial"/>
        <family val="0"/>
        <charset val="1"/>
      </rPr>
      <t xml:space="preserve">). </t>
    </r>
    <r>
      <rPr>
        <sz val="9"/>
        <color rgb="FFA33A3D"/>
        <rFont val="Noto Sans CJK SC"/>
        <family val="2"/>
      </rPr>
      <t xml:space="preserve">정밀 모드에서는 명도 난이도 산정을 위해 필요하므로 가상 증강했습니다</t>
    </r>
    <r>
      <rPr>
        <sz val="9"/>
        <color rgb="FFA33A3D"/>
        <rFont val="Arial"/>
        <family val="0"/>
        <charset val="1"/>
      </rPr>
      <t xml:space="preserve">.</t>
    </r>
  </si>
  <si>
    <r>
      <rPr>
        <sz val="9"/>
        <color rgb="FF7A8794"/>
        <rFont val="Noto Sans CJK SC"/>
        <family val="2"/>
      </rPr>
      <t xml:space="preserve">※ 환산보증금 </t>
    </r>
    <r>
      <rPr>
        <sz val="9"/>
        <color rgb="FF7A8794"/>
        <rFont val="Arial"/>
        <family val="0"/>
        <charset val="1"/>
      </rPr>
      <t xml:space="preserve">= </t>
    </r>
    <r>
      <rPr>
        <sz val="9"/>
        <color rgb="FF7A8794"/>
        <rFont val="Noto Sans CJK SC"/>
        <family val="2"/>
      </rPr>
      <t xml:space="preserve">보증금 </t>
    </r>
    <r>
      <rPr>
        <sz val="9"/>
        <color rgb="FF7A8794"/>
        <rFont val="Arial"/>
        <family val="0"/>
        <charset val="1"/>
      </rPr>
      <t xml:space="preserve">+ (</t>
    </r>
    <r>
      <rPr>
        <sz val="9"/>
        <color rgb="FF7A8794"/>
        <rFont val="Noto Sans CJK SC"/>
        <family val="2"/>
      </rPr>
      <t xml:space="preserve">월 임대료 </t>
    </r>
    <r>
      <rPr>
        <sz val="9"/>
        <color rgb="FF7A8794"/>
        <rFont val="Arial"/>
        <family val="0"/>
        <charset val="1"/>
      </rPr>
      <t xml:space="preserve">× 100). 9</t>
    </r>
    <r>
      <rPr>
        <sz val="9"/>
        <color rgb="FF7A8794"/>
        <rFont val="Noto Sans CJK SC"/>
        <family val="2"/>
      </rPr>
      <t xml:space="preserve">억 이하면 전면 적용</t>
    </r>
    <r>
      <rPr>
        <sz val="9"/>
        <color rgb="FF7A8794"/>
        <rFont val="Arial"/>
        <family val="0"/>
        <charset val="1"/>
      </rPr>
      <t xml:space="preserve">(</t>
    </r>
    <r>
      <rPr>
        <sz val="9"/>
        <color rgb="FF7A8794"/>
        <rFont val="Noto Sans CJK SC"/>
        <family val="2"/>
      </rPr>
      <t xml:space="preserve">우선변제권</t>
    </r>
    <r>
      <rPr>
        <sz val="9"/>
        <color rgb="FF7A8794"/>
        <rFont val="Arial"/>
        <family val="0"/>
        <charset val="1"/>
      </rPr>
      <t xml:space="preserve">·</t>
    </r>
    <r>
      <rPr>
        <sz val="9"/>
        <color rgb="FF7A8794"/>
        <rFont val="Noto Sans CJK SC"/>
        <family val="2"/>
      </rPr>
      <t xml:space="preserve">차임 </t>
    </r>
    <r>
      <rPr>
        <sz val="9"/>
        <color rgb="FF7A8794"/>
        <rFont val="Arial"/>
        <family val="0"/>
        <charset val="1"/>
      </rPr>
      <t xml:space="preserve">5% </t>
    </r>
    <r>
      <rPr>
        <sz val="9"/>
        <color rgb="FF7A8794"/>
        <rFont val="Noto Sans CJK SC"/>
        <family val="2"/>
      </rPr>
      <t xml:space="preserve">상한 포함</t>
    </r>
    <r>
      <rPr>
        <sz val="9"/>
        <color rgb="FF7A8794"/>
        <rFont val="Arial"/>
        <family val="0"/>
        <charset val="1"/>
      </rPr>
      <t xml:space="preserve">).</t>
    </r>
  </si>
  <si>
    <t xml:space="preserve">명도 계획 및 리스크</t>
  </si>
  <si>
    <r>
      <rPr>
        <sz val="9.5"/>
        <color rgb="FF7A8794"/>
        <rFont val="Noto Sans CJK SC"/>
        <family val="2"/>
      </rPr>
      <t xml:space="preserve">갱신요구권 잔여 </t>
    </r>
    <r>
      <rPr>
        <sz val="9.5"/>
        <color rgb="FF7A8794"/>
        <rFont val="Arial"/>
        <family val="0"/>
        <charset val="1"/>
      </rPr>
      <t xml:space="preserve">= </t>
    </r>
    <r>
      <rPr>
        <sz val="9.5"/>
        <color rgb="FF7A8794"/>
        <rFont val="Noto Sans CJK SC"/>
        <family val="2"/>
      </rPr>
      <t xml:space="preserve">최초 계약일부터 </t>
    </r>
    <r>
      <rPr>
        <sz val="9.5"/>
        <color rgb="FF7A8794"/>
        <rFont val="Arial"/>
        <family val="0"/>
        <charset val="1"/>
      </rPr>
      <t xml:space="preserve">10</t>
    </r>
    <r>
      <rPr>
        <sz val="9.5"/>
        <color rgb="FF7A8794"/>
        <rFont val="Noto Sans CJK SC"/>
        <family val="2"/>
      </rPr>
      <t xml:space="preserve">년  </t>
    </r>
    <r>
      <rPr>
        <sz val="9.5"/>
        <color rgb="FF7A8794"/>
        <rFont val="Arial"/>
        <family val="0"/>
        <charset val="1"/>
      </rPr>
      <t xml:space="preserve">[</t>
    </r>
    <r>
      <rPr>
        <sz val="9.5"/>
        <color rgb="FF7A8794"/>
        <rFont val="Noto Sans CJK SC"/>
        <family val="2"/>
      </rPr>
      <t xml:space="preserve">가상 증강 </t>
    </r>
    <r>
      <rPr>
        <sz val="9.5"/>
        <color rgb="FF7A8794"/>
        <rFont val="Arial"/>
        <family val="0"/>
        <charset val="1"/>
      </rPr>
      <t xml:space="preserve">· </t>
    </r>
    <r>
      <rPr>
        <sz val="9.5"/>
        <color rgb="FF7A8794"/>
        <rFont val="Noto Sans CJK SC"/>
        <family val="2"/>
      </rPr>
      <t xml:space="preserve">테스트용</t>
    </r>
    <r>
      <rPr>
        <sz val="9.5"/>
        <color rgb="FF7A8794"/>
        <rFont val="Arial"/>
        <family val="0"/>
        <charset val="1"/>
      </rPr>
      <t xml:space="preserve">]</t>
    </r>
  </si>
  <si>
    <r>
      <rPr>
        <b val="true"/>
        <sz val="9.5"/>
        <color rgb="FFFFFFFF"/>
        <rFont val="Noto Sans CJK SC"/>
        <family val="2"/>
      </rPr>
      <t xml:space="preserve">경과</t>
    </r>
    <r>
      <rPr>
        <b val="true"/>
        <sz val="9.5"/>
        <color rgb="FFFFFFFF"/>
        <rFont val="Arial"/>
        <family val="0"/>
        <charset val="1"/>
      </rPr>
      <t xml:space="preserve">(</t>
    </r>
    <r>
      <rPr>
        <b val="true"/>
        <sz val="9.5"/>
        <color rgb="FFFFFFFF"/>
        <rFont val="Noto Sans CJK SC"/>
        <family val="2"/>
      </rPr>
      <t xml:space="preserve">년</t>
    </r>
    <r>
      <rPr>
        <b val="true"/>
        <sz val="9.5"/>
        <color rgb="FFFFFFFF"/>
        <rFont val="Arial"/>
        <family val="0"/>
        <charset val="1"/>
      </rPr>
      <t xml:space="preserve">)</t>
    </r>
  </si>
  <si>
    <r>
      <rPr>
        <b val="true"/>
        <sz val="9.5"/>
        <color rgb="FFFFFFFF"/>
        <rFont val="Noto Sans CJK SC"/>
        <family val="2"/>
      </rPr>
      <t xml:space="preserve">갱신권 잔여</t>
    </r>
    <r>
      <rPr>
        <b val="true"/>
        <sz val="9.5"/>
        <color rgb="FFFFFFFF"/>
        <rFont val="Arial"/>
        <family val="0"/>
        <charset val="1"/>
      </rPr>
      <t xml:space="preserve">(</t>
    </r>
    <r>
      <rPr>
        <b val="true"/>
        <sz val="9.5"/>
        <color rgb="FFFFFFFF"/>
        <rFont val="Noto Sans CJK SC"/>
        <family val="2"/>
      </rPr>
      <t xml:space="preserve">년</t>
    </r>
    <r>
      <rPr>
        <b val="true"/>
        <sz val="9.5"/>
        <color rgb="FFFFFFFF"/>
        <rFont val="Arial"/>
        <family val="0"/>
        <charset val="1"/>
      </rPr>
      <t xml:space="preserve">)</t>
    </r>
  </si>
  <si>
    <t xml:space="preserve">권리금 리스크</t>
  </si>
  <si>
    <t xml:space="preserve">명도 난이도</t>
  </si>
  <si>
    <r>
      <rPr>
        <b val="true"/>
        <sz val="9.5"/>
        <color rgb="FFFFFFFF"/>
        <rFont val="Noto Sans CJK SC"/>
        <family val="2"/>
      </rPr>
      <t xml:space="preserve">예상 명도비</t>
    </r>
    <r>
      <rPr>
        <b val="true"/>
        <sz val="9.5"/>
        <color rgb="FFFFFFFF"/>
        <rFont val="Arial"/>
        <family val="0"/>
        <charset val="1"/>
      </rPr>
      <t xml:space="preserve">(</t>
    </r>
    <r>
      <rPr>
        <b val="true"/>
        <sz val="9.5"/>
        <color rgb="FFFFFFFF"/>
        <rFont val="Noto Sans CJK SC"/>
        <family val="2"/>
      </rPr>
      <t xml:space="preserve">원</t>
    </r>
    <r>
      <rPr>
        <b val="true"/>
        <sz val="9.5"/>
        <color rgb="FFFFFFFF"/>
        <rFont val="Arial"/>
        <family val="0"/>
        <charset val="1"/>
      </rPr>
      <t xml:space="preserve">)</t>
    </r>
  </si>
  <si>
    <t xml:space="preserve">비고</t>
  </si>
  <si>
    <t xml:space="preserve">높음</t>
  </si>
  <si>
    <t xml:space="preserve">권리금 회수기회 보호 대상</t>
  </si>
  <si>
    <t xml:space="preserve">낮음</t>
  </si>
  <si>
    <t xml:space="preserve">갱신권 소진 — 명도 용이</t>
  </si>
  <si>
    <t xml:space="preserve">중간</t>
  </si>
  <si>
    <t xml:space="preserve">협의 진행 필요</t>
  </si>
  <si>
    <r>
      <rPr>
        <sz val="10"/>
        <rFont val="Noto Sans CJK SC"/>
        <family val="2"/>
      </rPr>
      <t xml:space="preserve">매도인 부담 </t>
    </r>
    <r>
      <rPr>
        <sz val="10"/>
        <rFont val="Arial"/>
        <family val="0"/>
        <charset val="1"/>
      </rPr>
      <t xml:space="preserve">(IM </t>
    </r>
    <r>
      <rPr>
        <sz val="10"/>
        <rFont val="Noto Sans CJK SC"/>
        <family val="2"/>
      </rPr>
      <t xml:space="preserve">원본</t>
    </r>
    <r>
      <rPr>
        <sz val="10"/>
        <rFont val="Arial"/>
        <family val="0"/>
        <charset val="1"/>
      </rPr>
      <t xml:space="preserve">: </t>
    </r>
    <r>
      <rPr>
        <sz val="10"/>
        <rFont val="Noto Sans CJK SC"/>
        <family val="2"/>
      </rPr>
      <t xml:space="preserve">명도비 포함 확정가</t>
    </r>
    <r>
      <rPr>
        <sz val="10"/>
        <rFont val="Arial"/>
        <family val="0"/>
        <charset val="1"/>
      </rPr>
      <t xml:space="preserve">)</t>
    </r>
  </si>
  <si>
    <r>
      <rPr>
        <sz val="9"/>
        <color rgb="FFA33A3D"/>
        <rFont val="Noto Sans CJK SC"/>
        <family val="2"/>
      </rPr>
      <t xml:space="preserve">※ 갱신요구권은 최초 계약일로부터 </t>
    </r>
    <r>
      <rPr>
        <sz val="9"/>
        <color rgb="FFA33A3D"/>
        <rFont val="Arial"/>
        <family val="0"/>
        <charset val="1"/>
      </rPr>
      <t xml:space="preserve">10</t>
    </r>
    <r>
      <rPr>
        <sz val="9"/>
        <color rgb="FFA33A3D"/>
        <rFont val="Noto Sans CJK SC"/>
        <family val="2"/>
      </rPr>
      <t xml:space="preserve">년입니다</t>
    </r>
    <r>
      <rPr>
        <sz val="9"/>
        <color rgb="FFA33A3D"/>
        <rFont val="Arial"/>
        <family val="0"/>
        <charset val="1"/>
      </rPr>
      <t xml:space="preserve">. </t>
    </r>
    <r>
      <rPr>
        <sz val="9"/>
        <color rgb="FFA33A3D"/>
        <rFont val="Noto Sans CJK SC"/>
        <family val="2"/>
      </rPr>
      <t xml:space="preserve">잔여 </t>
    </r>
    <r>
      <rPr>
        <sz val="9"/>
        <color rgb="FFA33A3D"/>
        <rFont val="Arial"/>
        <family val="0"/>
        <charset val="1"/>
      </rPr>
      <t xml:space="preserve">5</t>
    </r>
    <r>
      <rPr>
        <sz val="9"/>
        <color rgb="FFA33A3D"/>
        <rFont val="Noto Sans CJK SC"/>
        <family val="2"/>
      </rPr>
      <t xml:space="preserve">년 이상이면 임차인이 갱신을 요구할 경우 법정 사유 없이 거절할 수 없습니다</t>
    </r>
    <r>
      <rPr>
        <sz val="9"/>
        <color rgb="FFA33A3D"/>
        <rFont val="Arial"/>
        <family val="0"/>
        <charset val="1"/>
      </rPr>
      <t xml:space="preserve">.</t>
    </r>
  </si>
  <si>
    <r>
      <rPr>
        <sz val="9"/>
        <color rgb="FFA33A3D"/>
        <rFont val="Noto Sans CJK SC"/>
        <family val="2"/>
      </rPr>
      <t xml:space="preserve">※ 권리금 회수기회 보호는 환산보증금과 무관하게 적용됩니다</t>
    </r>
    <r>
      <rPr>
        <sz val="9"/>
        <color rgb="FFA33A3D"/>
        <rFont val="Arial"/>
        <family val="0"/>
        <charset val="1"/>
      </rPr>
      <t xml:space="preserve">. F&amp;B·</t>
    </r>
    <r>
      <rPr>
        <sz val="9"/>
        <color rgb="FFA33A3D"/>
        <rFont val="Noto Sans CJK SC"/>
        <family val="2"/>
      </rPr>
      <t xml:space="preserve">소매 업종은 권리금 규모가 커 명도비가 높아집니다</t>
    </r>
    <r>
      <rPr>
        <sz val="9"/>
        <color rgb="FFA33A3D"/>
        <rFont val="Arial"/>
        <family val="0"/>
        <charset val="1"/>
      </rPr>
      <t xml:space="preserve">.</t>
    </r>
  </si>
  <si>
    <r>
      <rPr>
        <sz val="9"/>
        <color rgb="FF7A8794"/>
        <rFont val="Noto Sans CJK SC"/>
        <family val="2"/>
      </rPr>
      <t xml:space="preserve">※ 본 시트의 명도비는 테스트용 가정치입니다</t>
    </r>
    <r>
      <rPr>
        <sz val="9"/>
        <color rgb="FF7A8794"/>
        <rFont val="Arial"/>
        <family val="0"/>
        <charset val="1"/>
      </rPr>
      <t xml:space="preserve">. </t>
    </r>
    <r>
      <rPr>
        <sz val="9"/>
        <color rgb="FF7A8794"/>
        <rFont val="Noto Sans CJK SC"/>
        <family val="2"/>
      </rPr>
      <t xml:space="preserve">실제 산정은 업종별 권리금 시세와 개별 협의 결과에 따릅니다</t>
    </r>
    <r>
      <rPr>
        <sz val="9"/>
        <color rgb="FF7A8794"/>
        <rFont val="Arial"/>
        <family val="0"/>
        <charset val="1"/>
      </rPr>
      <t xml:space="preserve">.</t>
    </r>
  </si>
  <si>
    <t xml:space="preserve">비교 성사 사례</t>
  </si>
  <si>
    <r>
      <rPr>
        <sz val="9.5"/>
        <color rgb="FF7A8794"/>
        <rFont val="Noto Sans CJK SC"/>
        <family val="2"/>
      </rPr>
      <t xml:space="preserve">반경 </t>
    </r>
    <r>
      <rPr>
        <sz val="9.5"/>
        <color rgb="FF7A8794"/>
        <rFont val="Arial"/>
        <family val="0"/>
        <charset val="1"/>
      </rPr>
      <t xml:space="preserve">150m </t>
    </r>
    <r>
      <rPr>
        <sz val="9.5"/>
        <color rgb="FF7A8794"/>
        <rFont val="Noto Sans CJK SC"/>
        <family val="2"/>
      </rPr>
      <t xml:space="preserve">이내 </t>
    </r>
    <r>
      <rPr>
        <sz val="9.5"/>
        <color rgb="FF7A8794"/>
        <rFont val="Arial"/>
        <family val="0"/>
        <charset val="1"/>
      </rPr>
      <t xml:space="preserve">· </t>
    </r>
    <r>
      <rPr>
        <sz val="9.5"/>
        <color rgb="FF7A8794"/>
        <rFont val="Noto Sans CJK SC"/>
        <family val="2"/>
      </rPr>
      <t xml:space="preserve">국토부 실거래가 </t>
    </r>
    <r>
      <rPr>
        <sz val="9.5"/>
        <color rgb="FF7A8794"/>
        <rFont val="Arial"/>
        <family val="0"/>
        <charset val="1"/>
      </rPr>
      <t xml:space="preserve">+ </t>
    </r>
    <r>
      <rPr>
        <sz val="9.5"/>
        <color rgb="FF7A8794"/>
        <rFont val="Noto Sans CJK SC"/>
        <family val="2"/>
      </rPr>
      <t xml:space="preserve">중개인 확인</t>
    </r>
  </si>
  <si>
    <t xml:space="preserve">주소</t>
  </si>
  <si>
    <t xml:space="preserve">용도지역</t>
  </si>
  <si>
    <t xml:space="preserve">등록일</t>
  </si>
  <si>
    <r>
      <rPr>
        <b val="true"/>
        <sz val="9.5"/>
        <color rgb="FFFFFFFF"/>
        <rFont val="Noto Sans CJK SC"/>
        <family val="2"/>
      </rPr>
      <t xml:space="preserve">매매금액</t>
    </r>
    <r>
      <rPr>
        <b val="true"/>
        <sz val="9.5"/>
        <color rgb="FFFFFFFF"/>
        <rFont val="Arial"/>
        <family val="0"/>
        <charset val="1"/>
      </rPr>
      <t xml:space="preserve">(</t>
    </r>
    <r>
      <rPr>
        <b val="true"/>
        <sz val="9.5"/>
        <color rgb="FFFFFFFF"/>
        <rFont val="Noto Sans CJK SC"/>
        <family val="2"/>
      </rPr>
      <t xml:space="preserve">원</t>
    </r>
    <r>
      <rPr>
        <b val="true"/>
        <sz val="9.5"/>
        <color rgb="FFFFFFFF"/>
        <rFont val="Arial"/>
        <family val="0"/>
        <charset val="1"/>
      </rPr>
      <t xml:space="preserve">)</t>
    </r>
  </si>
  <si>
    <r>
      <rPr>
        <b val="true"/>
        <sz val="9.5"/>
        <color rgb="FFFFFFFF"/>
        <rFont val="Noto Sans CJK SC"/>
        <family val="2"/>
      </rPr>
      <t xml:space="preserve">토지 평단가</t>
    </r>
    <r>
      <rPr>
        <b val="true"/>
        <sz val="9.5"/>
        <color rgb="FFFFFFFF"/>
        <rFont val="Arial"/>
        <family val="0"/>
        <charset val="1"/>
      </rPr>
      <t xml:space="preserve">(</t>
    </r>
    <r>
      <rPr>
        <b val="true"/>
        <sz val="9.5"/>
        <color rgb="FFFFFFFF"/>
        <rFont val="Noto Sans CJK SC"/>
        <family val="2"/>
      </rPr>
      <t xml:space="preserve">원</t>
    </r>
    <r>
      <rPr>
        <b val="true"/>
        <sz val="9.5"/>
        <color rgb="FFFFFFFF"/>
        <rFont val="Arial"/>
        <family val="0"/>
        <charset val="1"/>
      </rPr>
      <t xml:space="preserve">)</t>
    </r>
  </si>
  <si>
    <t xml:space="preserve">특이사항</t>
  </si>
  <si>
    <r>
      <rPr>
        <sz val="10"/>
        <color rgb="FF0000FF"/>
        <rFont val="Noto Sans CJK SC"/>
        <family val="2"/>
      </rPr>
      <t xml:space="preserve">잠원동 </t>
    </r>
    <r>
      <rPr>
        <sz val="10"/>
        <color rgb="FF0000FF"/>
        <rFont val="Arial"/>
        <family val="0"/>
        <charset val="1"/>
      </rPr>
      <t xml:space="preserve">23-22</t>
    </r>
  </si>
  <si>
    <r>
      <rPr>
        <sz val="10"/>
        <color rgb="FF0000FF"/>
        <rFont val="Arial"/>
        <family val="0"/>
        <charset val="1"/>
      </rPr>
      <t xml:space="preserve">2</t>
    </r>
    <r>
      <rPr>
        <sz val="10"/>
        <color rgb="FF0000FF"/>
        <rFont val="Noto Sans CJK SC"/>
        <family val="2"/>
      </rPr>
      <t xml:space="preserve">종일반주거</t>
    </r>
  </si>
  <si>
    <t xml:space="preserve">2026-02</t>
  </si>
  <si>
    <r>
      <rPr>
        <sz val="10"/>
        <color rgb="FF0000FF"/>
        <rFont val="Noto Sans CJK SC"/>
        <family val="2"/>
      </rPr>
      <t xml:space="preserve">이면부</t>
    </r>
    <r>
      <rPr>
        <sz val="10"/>
        <color rgb="FF0000FF"/>
        <rFont val="Arial"/>
        <family val="0"/>
        <charset val="1"/>
      </rPr>
      <t xml:space="preserve">·</t>
    </r>
    <r>
      <rPr>
        <sz val="10"/>
        <color rgb="FF0000FF"/>
        <rFont val="Noto Sans CJK SC"/>
        <family val="2"/>
      </rPr>
      <t xml:space="preserve">경사로</t>
    </r>
    <r>
      <rPr>
        <sz val="10"/>
        <color rgb="FF0000FF"/>
        <rFont val="Arial"/>
        <family val="0"/>
        <charset val="1"/>
      </rPr>
      <t xml:space="preserve">·1989</t>
    </r>
    <r>
      <rPr>
        <sz val="10"/>
        <color rgb="FF0000FF"/>
        <rFont val="Noto Sans CJK SC"/>
        <family val="2"/>
      </rPr>
      <t xml:space="preserve">년 건축</t>
    </r>
  </si>
  <si>
    <r>
      <rPr>
        <sz val="10"/>
        <color rgb="FF0000FF"/>
        <rFont val="Noto Sans CJK SC"/>
        <family val="2"/>
      </rPr>
      <t xml:space="preserve">잠원동 </t>
    </r>
    <r>
      <rPr>
        <sz val="10"/>
        <color rgb="FF0000FF"/>
        <rFont val="Arial"/>
        <family val="0"/>
        <charset val="1"/>
      </rPr>
      <t xml:space="preserve">27-10</t>
    </r>
  </si>
  <si>
    <t xml:space="preserve">2026-03</t>
  </si>
  <si>
    <r>
      <rPr>
        <sz val="10"/>
        <color rgb="FF0000FF"/>
        <rFont val="Noto Sans CJK SC"/>
        <family val="2"/>
      </rPr>
      <t xml:space="preserve">경사로</t>
    </r>
    <r>
      <rPr>
        <sz val="10"/>
        <color rgb="FF0000FF"/>
        <rFont val="Arial"/>
        <family val="0"/>
        <charset val="1"/>
      </rPr>
      <t xml:space="preserve">·</t>
    </r>
    <r>
      <rPr>
        <sz val="10"/>
        <color rgb="FF0000FF"/>
        <rFont val="Noto Sans CJK SC"/>
        <family val="2"/>
      </rPr>
      <t xml:space="preserve">토지형상 길쭉</t>
    </r>
  </si>
  <si>
    <r>
      <rPr>
        <sz val="10"/>
        <color rgb="FF0000FF"/>
        <rFont val="Noto Sans CJK SC"/>
        <family val="2"/>
      </rPr>
      <t xml:space="preserve">잠원동 </t>
    </r>
    <r>
      <rPr>
        <sz val="10"/>
        <color rgb="FF0000FF"/>
        <rFont val="Arial"/>
        <family val="0"/>
        <charset val="1"/>
      </rPr>
      <t xml:space="preserve">25-23</t>
    </r>
  </si>
  <si>
    <t xml:space="preserve">2025-12</t>
  </si>
  <si>
    <r>
      <rPr>
        <sz val="10"/>
        <color rgb="FF0000FF"/>
        <rFont val="Arial"/>
        <family val="0"/>
        <charset val="1"/>
      </rPr>
      <t xml:space="preserve">2</t>
    </r>
    <r>
      <rPr>
        <sz val="10"/>
        <color rgb="FF0000FF"/>
        <rFont val="Noto Sans CJK SC"/>
        <family val="2"/>
      </rPr>
      <t xml:space="preserve">층 구조</t>
    </r>
    <r>
      <rPr>
        <sz val="10"/>
        <color rgb="FF0000FF"/>
        <rFont val="Arial"/>
        <family val="0"/>
        <charset val="1"/>
      </rPr>
      <t xml:space="preserve">·</t>
    </r>
    <r>
      <rPr>
        <sz val="10"/>
        <color rgb="FF0000FF"/>
        <rFont val="Noto Sans CJK SC"/>
        <family val="2"/>
      </rPr>
      <t xml:space="preserve">신축용</t>
    </r>
  </si>
  <si>
    <r>
      <rPr>
        <sz val="10"/>
        <color rgb="FF0000FF"/>
        <rFont val="Noto Sans CJK SC"/>
        <family val="2"/>
      </rPr>
      <t xml:space="preserve">잠원동 </t>
    </r>
    <r>
      <rPr>
        <sz val="10"/>
        <color rgb="FF0000FF"/>
        <rFont val="Arial"/>
        <family val="0"/>
        <charset val="1"/>
      </rPr>
      <t xml:space="preserve">35-8</t>
    </r>
  </si>
  <si>
    <r>
      <rPr>
        <sz val="10"/>
        <color rgb="FF0000FF"/>
        <rFont val="Arial"/>
        <family val="0"/>
        <charset val="1"/>
      </rPr>
      <t xml:space="preserve">1998</t>
    </r>
    <r>
      <rPr>
        <sz val="10"/>
        <color rgb="FF0000FF"/>
        <rFont val="Noto Sans CJK SC"/>
        <family val="2"/>
      </rPr>
      <t xml:space="preserve">년 건축</t>
    </r>
    <r>
      <rPr>
        <sz val="10"/>
        <color rgb="FF0000FF"/>
        <rFont val="Arial"/>
        <family val="0"/>
        <charset val="1"/>
      </rPr>
      <t xml:space="preserve">·</t>
    </r>
    <r>
      <rPr>
        <sz val="10"/>
        <color rgb="FF0000FF"/>
        <rFont val="Noto Sans CJK SC"/>
        <family val="2"/>
      </rPr>
      <t xml:space="preserve">주택 있음</t>
    </r>
  </si>
  <si>
    <t xml:space="preserve">본 자산</t>
  </si>
  <si>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종일반주거</t>
    </r>
  </si>
  <si>
    <t xml:space="preserve">명도비 포함 확정가</t>
  </si>
  <si>
    <r>
      <rPr>
        <sz val="9.5"/>
        <color rgb="FF2B3440"/>
        <rFont val="Noto Sans CJK SC"/>
        <family val="2"/>
      </rPr>
      <t xml:space="preserve">권역 시세 밴드 — 강남대로 배후 일면부</t>
    </r>
    <r>
      <rPr>
        <sz val="9.5"/>
        <color rgb="FF2B3440"/>
        <rFont val="Arial"/>
        <family val="0"/>
        <charset val="1"/>
      </rPr>
      <t xml:space="preserve">: 1.7</t>
    </r>
    <r>
      <rPr>
        <sz val="9.5"/>
        <color rgb="FF2B3440"/>
        <rFont val="Noto Sans CJK SC"/>
        <family val="2"/>
      </rPr>
      <t xml:space="preserve">억 </t>
    </r>
    <r>
      <rPr>
        <sz val="9.5"/>
        <color rgb="FF2B3440"/>
        <rFont val="Arial"/>
        <family val="0"/>
        <charset val="1"/>
      </rPr>
      <t xml:space="preserve">~ 2.3</t>
    </r>
    <r>
      <rPr>
        <sz val="9.5"/>
        <color rgb="FF2B3440"/>
        <rFont val="Noto Sans CJK SC"/>
        <family val="2"/>
      </rPr>
      <t xml:space="preserve">억 </t>
    </r>
    <r>
      <rPr>
        <sz val="9.5"/>
        <color rgb="FF2B3440"/>
        <rFont val="Arial"/>
        <family val="0"/>
        <charset val="1"/>
      </rPr>
      <t xml:space="preserve">/ </t>
    </r>
    <r>
      <rPr>
        <sz val="9.5"/>
        <color rgb="FF2B3440"/>
        <rFont val="Noto Sans CJK SC"/>
        <family val="2"/>
      </rPr>
      <t xml:space="preserve">토지 평당</t>
    </r>
  </si>
  <si>
    <r>
      <rPr>
        <sz val="9.5"/>
        <color rgb="FF2B3440"/>
        <rFont val="Noto Sans CJK SC"/>
        <family val="2"/>
      </rPr>
      <t xml:space="preserve">                 강남대로 안쪽 이면부</t>
    </r>
    <r>
      <rPr>
        <sz val="9.5"/>
        <color rgb="FF2B3440"/>
        <rFont val="Arial"/>
        <family val="0"/>
        <charset val="1"/>
      </rPr>
      <t xml:space="preserve">: 1.1</t>
    </r>
    <r>
      <rPr>
        <sz val="9.5"/>
        <color rgb="FF2B3440"/>
        <rFont val="Noto Sans CJK SC"/>
        <family val="2"/>
      </rPr>
      <t xml:space="preserve">억 </t>
    </r>
    <r>
      <rPr>
        <sz val="9.5"/>
        <color rgb="FF2B3440"/>
        <rFont val="Arial"/>
        <family val="0"/>
        <charset val="1"/>
      </rPr>
      <t xml:space="preserve">~ 1.6</t>
    </r>
    <r>
      <rPr>
        <sz val="9.5"/>
        <color rgb="FF2B3440"/>
        <rFont val="Noto Sans CJK SC"/>
        <family val="2"/>
      </rPr>
      <t xml:space="preserve">억 </t>
    </r>
    <r>
      <rPr>
        <sz val="9.5"/>
        <color rgb="FF2B3440"/>
        <rFont val="Arial"/>
        <family val="0"/>
        <charset val="1"/>
      </rPr>
      <t xml:space="preserve">/ </t>
    </r>
    <r>
      <rPr>
        <sz val="9.5"/>
        <color rgb="FF2B3440"/>
        <rFont val="Noto Sans CJK SC"/>
        <family val="2"/>
      </rPr>
      <t xml:space="preserve">토지 평당</t>
    </r>
  </si>
  <si>
    <r>
      <rPr>
        <b val="true"/>
        <sz val="14"/>
        <color rgb="FF1F3A5F"/>
        <rFont val="Noto Sans CJK SC"/>
        <family val="2"/>
      </rPr>
      <t xml:space="preserve">신축 후 </t>
    </r>
    <r>
      <rPr>
        <b val="true"/>
        <sz val="14"/>
        <color rgb="FF1F3A5F"/>
        <rFont val="Arial"/>
        <family val="0"/>
        <charset val="1"/>
      </rPr>
      <t xml:space="preserve">Stacking Plan</t>
    </r>
  </si>
  <si>
    <r>
      <rPr>
        <sz val="9.5"/>
        <color rgb="FF7A8794"/>
        <rFont val="Noto Sans CJK SC"/>
        <family val="2"/>
      </rPr>
      <t xml:space="preserve">기준시점 </t>
    </r>
    <r>
      <rPr>
        <sz val="9.5"/>
        <color rgb="FF7A8794"/>
        <rFont val="Arial"/>
        <family val="0"/>
        <charset val="1"/>
      </rPr>
      <t xml:space="preserve">2028</t>
    </r>
    <r>
      <rPr>
        <sz val="9.5"/>
        <color rgb="FF7A8794"/>
        <rFont val="Noto Sans CJK SC"/>
        <family val="2"/>
      </rPr>
      <t xml:space="preserve">년 상반기 </t>
    </r>
    <r>
      <rPr>
        <sz val="9.5"/>
        <color rgb="FF7A8794"/>
        <rFont val="Arial"/>
        <family val="0"/>
        <charset val="1"/>
      </rPr>
      <t xml:space="preserve">· </t>
    </r>
    <r>
      <rPr>
        <sz val="9.5"/>
        <color rgb="FF7A8794"/>
        <rFont val="Noto Sans CJK SC"/>
        <family val="2"/>
      </rPr>
      <t xml:space="preserve">중개인 산정</t>
    </r>
  </si>
  <si>
    <r>
      <rPr>
        <b val="true"/>
        <sz val="9.5"/>
        <color rgb="FFFFFFFF"/>
        <rFont val="Noto Sans CJK SC"/>
        <family val="2"/>
      </rPr>
      <t xml:space="preserve">임대면적</t>
    </r>
    <r>
      <rPr>
        <b val="true"/>
        <sz val="9.5"/>
        <color rgb="FFFFFFFF"/>
        <rFont val="Arial"/>
        <family val="0"/>
        <charset val="1"/>
      </rPr>
      <t xml:space="preserve">(</t>
    </r>
    <r>
      <rPr>
        <b val="true"/>
        <sz val="9.5"/>
        <color rgb="FFFFFFFF"/>
        <rFont val="Noto Sans CJK SC"/>
        <family val="2"/>
      </rPr>
      <t xml:space="preserve">평</t>
    </r>
    <r>
      <rPr>
        <b val="true"/>
        <sz val="9.5"/>
        <color rgb="FFFFFFFF"/>
        <rFont val="Arial"/>
        <family val="0"/>
        <charset val="1"/>
      </rPr>
      <t xml:space="preserve">)</t>
    </r>
  </si>
  <si>
    <t xml:space="preserve">용도</t>
  </si>
  <si>
    <r>
      <rPr>
        <b val="true"/>
        <sz val="9.5"/>
        <color rgb="FFFFFFFF"/>
        <rFont val="Noto Sans CJK SC"/>
        <family val="2"/>
      </rPr>
      <t xml:space="preserve">평당 임대료</t>
    </r>
    <r>
      <rPr>
        <b val="true"/>
        <sz val="9.5"/>
        <color rgb="FFFFFFFF"/>
        <rFont val="Arial"/>
        <family val="0"/>
        <charset val="1"/>
      </rPr>
      <t xml:space="preserve">(</t>
    </r>
    <r>
      <rPr>
        <b val="true"/>
        <sz val="9.5"/>
        <color rgb="FFFFFFFF"/>
        <rFont val="Noto Sans CJK SC"/>
        <family val="2"/>
      </rPr>
      <t xml:space="preserve">원</t>
    </r>
    <r>
      <rPr>
        <b val="true"/>
        <sz val="9.5"/>
        <color rgb="FFFFFFFF"/>
        <rFont val="Arial"/>
        <family val="0"/>
        <charset val="1"/>
      </rPr>
      <t xml:space="preserve">)</t>
    </r>
  </si>
  <si>
    <r>
      <rPr>
        <sz val="10"/>
        <color rgb="FF0000FF"/>
        <rFont val="Noto Sans CJK SC"/>
        <family val="2"/>
      </rPr>
      <t xml:space="preserve">운동시설</t>
    </r>
    <r>
      <rPr>
        <sz val="10"/>
        <color rgb="FF0000FF"/>
        <rFont val="Arial"/>
        <family val="0"/>
        <charset val="1"/>
      </rPr>
      <t xml:space="preserve">·</t>
    </r>
    <r>
      <rPr>
        <sz val="10"/>
        <color rgb="FF0000FF"/>
        <rFont val="Noto Sans CJK SC"/>
        <family val="2"/>
      </rPr>
      <t xml:space="preserve">주점 등</t>
    </r>
  </si>
  <si>
    <r>
      <rPr>
        <sz val="10"/>
        <color rgb="FF0000FF"/>
        <rFont val="Noto Sans CJK SC"/>
        <family val="2"/>
      </rPr>
      <t xml:space="preserve">식음료</t>
    </r>
    <r>
      <rPr>
        <sz val="10"/>
        <color rgb="FF0000FF"/>
        <rFont val="Arial"/>
        <family val="0"/>
        <charset val="1"/>
      </rPr>
      <t xml:space="preserve">·</t>
    </r>
    <r>
      <rPr>
        <sz val="10"/>
        <color rgb="FF0000FF"/>
        <rFont val="Noto Sans CJK SC"/>
        <family val="2"/>
      </rPr>
      <t xml:space="preserve">리테일</t>
    </r>
    <r>
      <rPr>
        <sz val="10"/>
        <color rgb="FF0000FF"/>
        <rFont val="Arial"/>
        <family val="0"/>
        <charset val="1"/>
      </rPr>
      <t xml:space="preserve">·</t>
    </r>
    <r>
      <rPr>
        <sz val="10"/>
        <color rgb="FF0000FF"/>
        <rFont val="Noto Sans CJK SC"/>
        <family val="2"/>
      </rPr>
      <t xml:space="preserve">약국 등</t>
    </r>
  </si>
  <si>
    <r>
      <rPr>
        <sz val="10"/>
        <color rgb="FF0000FF"/>
        <rFont val="Noto Sans CJK SC"/>
        <family val="2"/>
      </rPr>
      <t xml:space="preserve">오피스</t>
    </r>
    <r>
      <rPr>
        <sz val="10"/>
        <color rgb="FF0000FF"/>
        <rFont val="Arial"/>
        <family val="0"/>
        <charset val="1"/>
      </rPr>
      <t xml:space="preserve">·</t>
    </r>
    <r>
      <rPr>
        <sz val="10"/>
        <color rgb="FF0000FF"/>
        <rFont val="Noto Sans CJK SC"/>
        <family val="2"/>
      </rPr>
      <t xml:space="preserve">의원</t>
    </r>
    <r>
      <rPr>
        <sz val="10"/>
        <color rgb="FF0000FF"/>
        <rFont val="Arial"/>
        <family val="0"/>
        <charset val="1"/>
      </rPr>
      <t xml:space="preserve">·</t>
    </r>
    <r>
      <rPr>
        <sz val="10"/>
        <color rgb="FF0000FF"/>
        <rFont val="Noto Sans CJK SC"/>
        <family val="2"/>
      </rPr>
      <t xml:space="preserve">식음료 등</t>
    </r>
  </si>
  <si>
    <r>
      <rPr>
        <sz val="10"/>
        <color rgb="FF0000FF"/>
        <rFont val="Noto Sans CJK SC"/>
        <family val="2"/>
      </rPr>
      <t xml:space="preserve">오피스</t>
    </r>
    <r>
      <rPr>
        <sz val="10"/>
        <color rgb="FF0000FF"/>
        <rFont val="Arial"/>
        <family val="0"/>
        <charset val="1"/>
      </rPr>
      <t xml:space="preserve">·</t>
    </r>
    <r>
      <rPr>
        <sz val="10"/>
        <color rgb="FF0000FF"/>
        <rFont val="Noto Sans CJK SC"/>
        <family val="2"/>
      </rPr>
      <t xml:space="preserve">의원 등</t>
    </r>
  </si>
  <si>
    <t xml:space="preserve">6F</t>
  </si>
  <si>
    <t xml:space="preserve">가정</t>
  </si>
  <si>
    <r>
      <rPr>
        <sz val="10"/>
        <rFont val="Noto Sans CJK SC"/>
        <family val="2"/>
      </rPr>
      <t xml:space="preserve">보증금 배수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월 임대료 </t>
    </r>
    <r>
      <rPr>
        <sz val="10"/>
        <rFont val="Arial"/>
        <family val="0"/>
        <charset val="1"/>
      </rPr>
      <t xml:space="preserve">× n)</t>
    </r>
  </si>
  <si>
    <r>
      <rPr>
        <sz val="10"/>
        <rFont val="Noto Sans CJK SC"/>
        <family val="2"/>
      </rPr>
      <t xml:space="preserve">평당 월 관리비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원</t>
    </r>
    <r>
      <rPr>
        <sz val="10"/>
        <rFont val="Arial"/>
        <family val="0"/>
        <charset val="1"/>
      </rPr>
      <t xml:space="preserve">)</t>
    </r>
  </si>
  <si>
    <r>
      <rPr>
        <sz val="9"/>
        <color rgb="FFA33A3D"/>
        <rFont val="Arial"/>
        <family val="0"/>
        <charset val="1"/>
      </rPr>
      <t xml:space="preserve">※ IM </t>
    </r>
    <r>
      <rPr>
        <sz val="9"/>
        <color rgb="FFA33A3D"/>
        <rFont val="Noto Sans CJK SC"/>
        <family val="2"/>
      </rPr>
      <t xml:space="preserve">원본 </t>
    </r>
    <r>
      <rPr>
        <sz val="9"/>
        <color rgb="FFA33A3D"/>
        <rFont val="Arial"/>
        <family val="0"/>
        <charset val="1"/>
      </rPr>
      <t xml:space="preserve">2F </t>
    </r>
    <r>
      <rPr>
        <sz val="9"/>
        <color rgb="FFA33A3D"/>
        <rFont val="Noto Sans CJK SC"/>
        <family val="2"/>
      </rPr>
      <t xml:space="preserve">월임대료는 </t>
    </r>
    <r>
      <rPr>
        <sz val="9"/>
        <color rgb="FFA33A3D"/>
        <rFont val="Arial"/>
        <family val="0"/>
        <charset val="1"/>
      </rPr>
      <t xml:space="preserve">18,894,000</t>
    </r>
    <r>
      <rPr>
        <sz val="9"/>
        <color rgb="FFA33A3D"/>
        <rFont val="Noto Sans CJK SC"/>
        <family val="2"/>
      </rPr>
      <t xml:space="preserve">원이나 </t>
    </r>
    <r>
      <rPr>
        <sz val="9"/>
        <color rgb="FFA33A3D"/>
        <rFont val="Arial"/>
        <family val="0"/>
        <charset val="1"/>
      </rPr>
      <t xml:space="preserve">94.67</t>
    </r>
    <r>
      <rPr>
        <sz val="9"/>
        <color rgb="FFA33A3D"/>
        <rFont val="Noto Sans CJK SC"/>
        <family val="2"/>
      </rPr>
      <t xml:space="preserve">평 </t>
    </r>
    <r>
      <rPr>
        <sz val="9"/>
        <color rgb="FFA33A3D"/>
        <rFont val="Arial"/>
        <family val="0"/>
        <charset val="1"/>
      </rPr>
      <t xml:space="preserve">× 200,000</t>
    </r>
    <r>
      <rPr>
        <sz val="9"/>
        <color rgb="FFA33A3D"/>
        <rFont val="Noto Sans CJK SC"/>
        <family val="2"/>
      </rPr>
      <t xml:space="preserve">원 </t>
    </r>
    <r>
      <rPr>
        <sz val="9"/>
        <color rgb="FFA33A3D"/>
        <rFont val="Arial"/>
        <family val="0"/>
        <charset val="1"/>
      </rPr>
      <t xml:space="preserve">= 18,934,000</t>
    </r>
    <r>
      <rPr>
        <sz val="9"/>
        <color rgb="FFA33A3D"/>
        <rFont val="Noto Sans CJK SC"/>
        <family val="2"/>
      </rPr>
      <t xml:space="preserve">원입니다</t>
    </r>
    <r>
      <rPr>
        <sz val="9"/>
        <color rgb="FFA33A3D"/>
        <rFont val="Arial"/>
        <family val="0"/>
        <charset val="1"/>
      </rPr>
      <t xml:space="preserve">. 40,000</t>
    </r>
    <r>
      <rPr>
        <sz val="9"/>
        <color rgb="FFA33A3D"/>
        <rFont val="Noto Sans CJK SC"/>
        <family val="2"/>
      </rPr>
      <t xml:space="preserve">원 차이는 원본의 반올림 또는 오기로 보입니다</t>
    </r>
    <r>
      <rPr>
        <sz val="9"/>
        <color rgb="FFA33A3D"/>
        <rFont val="Arial"/>
        <family val="0"/>
        <charset val="1"/>
      </rPr>
      <t xml:space="preserve">.</t>
    </r>
  </si>
  <si>
    <t xml:space="preserve">사업 투입비용</t>
  </si>
  <si>
    <t xml:space="preserve">취득 부대비용 포함 상세</t>
  </si>
  <si>
    <t xml:space="preserve">구분</t>
  </si>
  <si>
    <r>
      <rPr>
        <b val="true"/>
        <sz val="9.5"/>
        <color rgb="FFFFFFFF"/>
        <rFont val="Noto Sans CJK SC"/>
        <family val="2"/>
      </rPr>
      <t xml:space="preserve">금액</t>
    </r>
    <r>
      <rPr>
        <b val="true"/>
        <sz val="9.5"/>
        <color rgb="FFFFFFFF"/>
        <rFont val="Arial"/>
        <family val="0"/>
        <charset val="1"/>
      </rPr>
      <t xml:space="preserve">(</t>
    </r>
    <r>
      <rPr>
        <b val="true"/>
        <sz val="9.5"/>
        <color rgb="FFFFFFFF"/>
        <rFont val="Noto Sans CJK SC"/>
        <family val="2"/>
      </rPr>
      <t xml:space="preserve">원</t>
    </r>
    <r>
      <rPr>
        <b val="true"/>
        <sz val="9.5"/>
        <color rgb="FFFFFFFF"/>
        <rFont val="Arial"/>
        <family val="0"/>
        <charset val="1"/>
      </rPr>
      <t xml:space="preserve">)</t>
    </r>
  </si>
  <si>
    <t xml:space="preserve">산정 근거</t>
  </si>
  <si>
    <t xml:space="preserve">① 매입비용</t>
  </si>
  <si>
    <r>
      <rPr>
        <sz val="10"/>
        <rFont val="Noto Sans CJK SC"/>
        <family val="2"/>
      </rPr>
      <t xml:space="preserve">매매 계약가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세금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금융비용 제외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</si>
  <si>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   취득세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표준 </t>
    </r>
    <r>
      <rPr>
        <sz val="10"/>
        <rFont val="Arial"/>
        <family val="0"/>
        <charset val="1"/>
      </rPr>
      <t xml:space="preserve">4.6%)</t>
    </r>
  </si>
  <si>
    <r>
      <rPr>
        <sz val="10"/>
        <rFont val="Noto Sans CJK SC"/>
        <family val="2"/>
      </rPr>
      <t xml:space="preserve">지방세법 표준세율 </t>
    </r>
    <r>
      <rPr>
        <sz val="10"/>
        <rFont val="Arial"/>
        <family val="0"/>
        <charset val="1"/>
      </rPr>
      <t xml:space="preserve">· </t>
    </r>
    <r>
      <rPr>
        <sz val="10"/>
        <rFont val="Noto Sans CJK SC"/>
        <family val="2"/>
      </rPr>
      <t xml:space="preserve">중과 요건 별도 확인</t>
    </r>
  </si>
  <si>
    <r>
      <rPr>
        <sz val="10"/>
        <rFont val="Noto Sans CJK SC"/>
        <family val="2"/>
      </rPr>
      <t xml:space="preserve">   중개보수 </t>
    </r>
    <r>
      <rPr>
        <sz val="10"/>
        <rFont val="Arial"/>
        <family val="0"/>
        <charset val="1"/>
      </rPr>
      <t xml:space="preserve">(0.9% </t>
    </r>
    <r>
      <rPr>
        <sz val="10"/>
        <rFont val="Noto Sans CJK SC"/>
        <family val="2"/>
      </rPr>
      <t xml:space="preserve">이내</t>
    </r>
    <r>
      <rPr>
        <sz val="10"/>
        <rFont val="Arial"/>
        <family val="0"/>
        <charset val="1"/>
      </rPr>
      <t xml:space="preserve">)</t>
    </r>
  </si>
  <si>
    <t xml:space="preserve">공인중개사법 법정 상한 내 협의</t>
  </si>
  <si>
    <r>
      <rPr>
        <sz val="10"/>
        <rFont val="Noto Sans CJK SC"/>
        <family val="2"/>
      </rPr>
      <t xml:space="preserve">   등록면허세 </t>
    </r>
    <r>
      <rPr>
        <sz val="10"/>
        <rFont val="Arial"/>
        <family val="0"/>
        <charset val="1"/>
      </rPr>
      <t xml:space="preserve">· </t>
    </r>
    <r>
      <rPr>
        <sz val="10"/>
        <rFont val="Noto Sans CJK SC"/>
        <family val="2"/>
      </rPr>
      <t xml:space="preserve">법무비</t>
    </r>
  </si>
  <si>
    <t xml:space="preserve">추정</t>
  </si>
  <si>
    <r>
      <rPr>
        <sz val="10"/>
        <rFont val="Noto Sans CJK SC"/>
        <family val="2"/>
      </rPr>
      <t xml:space="preserve">   감정평가 </t>
    </r>
    <r>
      <rPr>
        <sz val="10"/>
        <rFont val="Arial"/>
        <family val="0"/>
        <charset val="1"/>
      </rPr>
      <t xml:space="preserve">· </t>
    </r>
    <r>
      <rPr>
        <sz val="10"/>
        <rFont val="Noto Sans CJK SC"/>
        <family val="2"/>
      </rPr>
      <t xml:space="preserve">실사비</t>
    </r>
  </si>
  <si>
    <t xml:space="preserve">   소계 — 총취득원가</t>
  </si>
  <si>
    <r>
      <rPr>
        <sz val="10"/>
        <rFont val="Noto Sans CJK SC"/>
        <family val="2"/>
      </rPr>
      <t xml:space="preserve">회계사형 </t>
    </r>
    <r>
      <rPr>
        <sz val="10"/>
        <rFont val="Arial"/>
        <family val="0"/>
        <charset val="1"/>
      </rPr>
      <t xml:space="preserve">Cap Rate</t>
    </r>
    <r>
      <rPr>
        <sz val="10"/>
        <rFont val="Noto Sans CJK SC"/>
        <family val="2"/>
      </rPr>
      <t xml:space="preserve">의 분모</t>
    </r>
  </si>
  <si>
    <r>
      <rPr>
        <b val="true"/>
        <sz val="10"/>
        <rFont val="Noto Sans CJK SC"/>
        <family val="2"/>
      </rPr>
      <t xml:space="preserve">② 건축비 </t>
    </r>
    <r>
      <rPr>
        <b val="true"/>
        <sz val="10"/>
        <rFont val="Arial"/>
        <family val="0"/>
        <charset val="1"/>
      </rPr>
      <t xml:space="preserve">(</t>
    </r>
    <r>
      <rPr>
        <b val="true"/>
        <sz val="10"/>
        <rFont val="Noto Sans CJK SC"/>
        <family val="2"/>
      </rPr>
      <t xml:space="preserve">평당 </t>
    </r>
    <r>
      <rPr>
        <b val="true"/>
        <sz val="10"/>
        <rFont val="Arial"/>
        <family val="0"/>
        <charset val="1"/>
      </rPr>
      <t xml:space="preserve">1,200</t>
    </r>
    <r>
      <rPr>
        <b val="true"/>
        <sz val="10"/>
        <rFont val="Noto Sans CJK SC"/>
        <family val="2"/>
      </rPr>
      <t xml:space="preserve">만원</t>
    </r>
    <r>
      <rPr>
        <b val="true"/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</si>
  <si>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신축 연면적 </t>
    </r>
    <r>
      <rPr>
        <sz val="10"/>
        <rFont val="Arial"/>
        <family val="0"/>
        <charset val="1"/>
      </rPr>
      <t xml:space="preserve">614.03</t>
    </r>
    <r>
      <rPr>
        <sz val="10"/>
        <rFont val="Noto Sans CJK SC"/>
        <family val="2"/>
      </rPr>
      <t xml:space="preserve">평 </t>
    </r>
    <r>
      <rPr>
        <sz val="10"/>
        <rFont val="Arial"/>
        <family val="0"/>
        <charset val="1"/>
      </rPr>
      <t xml:space="preserve">× 12,000,000</t>
    </r>
    <r>
      <rPr>
        <sz val="10"/>
        <rFont val="Noto Sans CJK SC"/>
        <family val="2"/>
      </rPr>
      <t xml:space="preserve">원</t>
    </r>
  </si>
  <si>
    <t xml:space="preserve">③ 예비비용</t>
  </si>
  <si>
    <r>
      <rPr>
        <sz val="10"/>
        <rFont val="Arial"/>
        <family val="0"/>
        <charset val="1"/>
      </rPr>
      <t xml:space="preserve">IM </t>
    </r>
    <r>
      <rPr>
        <sz val="10"/>
        <rFont val="Noto Sans CJK SC"/>
        <family val="2"/>
      </rPr>
      <t xml:space="preserve">원본 기재</t>
    </r>
  </si>
  <si>
    <t xml:space="preserve">총 사업비</t>
  </si>
  <si>
    <r>
      <rPr>
        <sz val="10"/>
        <rFont val="Arial"/>
        <family val="0"/>
        <charset val="1"/>
      </rPr>
      <t xml:space="preserve">IM </t>
    </r>
    <r>
      <rPr>
        <sz val="10"/>
        <rFont val="Noto Sans CJK SC"/>
        <family val="2"/>
      </rPr>
      <t xml:space="preserve">원본 </t>
    </r>
    <r>
      <rPr>
        <sz val="10"/>
        <rFont val="Arial"/>
        <family val="0"/>
        <charset val="1"/>
      </rPr>
      <t xml:space="preserve">32,095,160,000</t>
    </r>
    <r>
      <rPr>
        <sz val="10"/>
        <rFont val="Noto Sans CJK SC"/>
        <family val="2"/>
      </rPr>
      <t xml:space="preserve">원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부대비용 미포함 기준</t>
    </r>
    <r>
      <rPr>
        <sz val="10"/>
        <rFont val="Arial"/>
        <family val="0"/>
        <charset val="1"/>
      </rPr>
      <t xml:space="preserve">)</t>
    </r>
  </si>
  <si>
    <t xml:space="preserve">지가 변동 시나리오</t>
  </si>
  <si>
    <r>
      <rPr>
        <sz val="9.5"/>
        <color rgb="FF7A8794"/>
        <rFont val="Noto Sans CJK SC"/>
        <family val="2"/>
      </rPr>
      <t xml:space="preserve">잠원동 개별공시지가 추이 기반  </t>
    </r>
    <r>
      <rPr>
        <sz val="9.5"/>
        <color rgb="FF7A8794"/>
        <rFont val="Arial"/>
        <family val="0"/>
        <charset val="1"/>
      </rPr>
      <t xml:space="preserve">[</t>
    </r>
    <r>
      <rPr>
        <sz val="9.5"/>
        <color rgb="FF7A8794"/>
        <rFont val="Noto Sans CJK SC"/>
        <family val="2"/>
      </rPr>
      <t xml:space="preserve">가상 증강 </t>
    </r>
    <r>
      <rPr>
        <sz val="9.5"/>
        <color rgb="FF7A8794"/>
        <rFont val="Arial"/>
        <family val="0"/>
        <charset val="1"/>
      </rPr>
      <t xml:space="preserve">· </t>
    </r>
    <r>
      <rPr>
        <sz val="9.5"/>
        <color rgb="FF7A8794"/>
        <rFont val="Noto Sans CJK SC"/>
        <family val="2"/>
      </rPr>
      <t xml:space="preserve">테스트용</t>
    </r>
    <r>
      <rPr>
        <sz val="9.5"/>
        <color rgb="FF7A8794"/>
        <rFont val="Arial"/>
        <family val="0"/>
        <charset val="1"/>
      </rPr>
      <t xml:space="preserve">]</t>
    </r>
  </si>
  <si>
    <t xml:space="preserve">연도</t>
  </si>
  <si>
    <t xml:space="preserve">개별공시지가 변동률</t>
  </si>
  <si>
    <t xml:space="preserve">2022</t>
  </si>
  <si>
    <t xml:space="preserve">2023</t>
  </si>
  <si>
    <t xml:space="preserve">2024</t>
  </si>
  <si>
    <t xml:space="preserve">2025</t>
  </si>
  <si>
    <t xml:space="preserve">2026</t>
  </si>
  <si>
    <r>
      <rPr>
        <b val="true"/>
        <sz val="10"/>
        <rFont val="Arial"/>
        <family val="0"/>
        <charset val="1"/>
      </rPr>
      <t xml:space="preserve">3</t>
    </r>
    <r>
      <rPr>
        <b val="true"/>
        <sz val="10"/>
        <rFont val="Noto Sans CJK SC"/>
        <family val="2"/>
      </rPr>
      <t xml:space="preserve">년 평균</t>
    </r>
  </si>
  <si>
    <t xml:space="preserve">시나리오</t>
  </si>
  <si>
    <t xml:space="preserve">변동률</t>
  </si>
  <si>
    <t xml:space="preserve">하락</t>
  </si>
  <si>
    <r>
      <rPr>
        <sz val="10"/>
        <rFont val="Arial"/>
        <family val="0"/>
        <charset val="1"/>
      </rPr>
      <t xml:space="preserve">2023</t>
    </r>
    <r>
      <rPr>
        <sz val="10"/>
        <rFont val="Noto Sans CJK SC"/>
        <family val="2"/>
      </rPr>
      <t xml:space="preserve">년 조정폭</t>
    </r>
    <r>
      <rPr>
        <sz val="10"/>
        <rFont val="Arial"/>
        <family val="0"/>
        <charset val="1"/>
      </rPr>
      <t xml:space="preserve">(-0.8%)</t>
    </r>
    <r>
      <rPr>
        <sz val="10"/>
        <rFont val="Noto Sans CJK SC"/>
        <family val="2"/>
      </rPr>
      <t xml:space="preserve">보다 보수적으로 설정</t>
    </r>
  </si>
  <si>
    <t xml:space="preserve">보수</t>
  </si>
  <si>
    <t xml:space="preserve">자산가치 변동 없음 가정</t>
  </si>
  <si>
    <t xml:space="preserve">기준</t>
  </si>
  <si>
    <r>
      <rPr>
        <sz val="10"/>
        <rFont val="Noto Sans CJK SC"/>
        <family val="2"/>
      </rPr>
      <t xml:space="preserve">최근 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년 평균 </t>
    </r>
    <r>
      <rPr>
        <sz val="10"/>
        <rFont val="Arial"/>
        <family val="0"/>
        <charset val="1"/>
      </rPr>
      <t xml:space="preserve">(2024~2026)</t>
    </r>
  </si>
  <si>
    <t xml:space="preserve">낙관</t>
  </si>
  <si>
    <r>
      <rPr>
        <sz val="10"/>
        <rFont val="Arial"/>
        <family val="0"/>
        <charset val="1"/>
      </rPr>
      <t xml:space="preserve">5</t>
    </r>
    <r>
      <rPr>
        <sz val="10"/>
        <rFont val="Noto Sans CJK SC"/>
        <family val="2"/>
      </rPr>
      <t xml:space="preserve">년 내 최고치</t>
    </r>
    <r>
      <rPr>
        <sz val="10"/>
        <rFont val="Arial"/>
        <family val="0"/>
        <charset val="1"/>
      </rPr>
      <t xml:space="preserve">(4.1%) </t>
    </r>
    <r>
      <rPr>
        <sz val="10"/>
        <rFont val="Noto Sans CJK SC"/>
        <family val="2"/>
      </rPr>
      <t xml:space="preserve">상회 수준</t>
    </r>
  </si>
  <si>
    <r>
      <rPr>
        <sz val="9"/>
        <color rgb="FF7A8794"/>
        <rFont val="Noto Sans CJK SC"/>
        <family val="2"/>
      </rPr>
      <t xml:space="preserve">※ 개별공시지가는 시가의 </t>
    </r>
    <r>
      <rPr>
        <sz val="9"/>
        <color rgb="FF7A8794"/>
        <rFont val="Arial"/>
        <family val="0"/>
        <charset val="1"/>
      </rPr>
      <t xml:space="preserve">60~70% </t>
    </r>
    <r>
      <rPr>
        <sz val="9"/>
        <color rgb="FF7A8794"/>
        <rFont val="Noto Sans CJK SC"/>
        <family val="2"/>
      </rPr>
      <t xml:space="preserve">수준에서 형성되며 실거래 상승률과 일치하지 않습니다</t>
    </r>
    <r>
      <rPr>
        <sz val="9"/>
        <color rgb="FF7A8794"/>
        <rFont val="Arial"/>
        <family val="0"/>
        <charset val="1"/>
      </rPr>
      <t xml:space="preserve">. </t>
    </r>
    <r>
      <rPr>
        <sz val="9"/>
        <color rgb="FF7A8794"/>
        <rFont val="Noto Sans CJK SC"/>
        <family val="2"/>
      </rPr>
      <t xml:space="preserve">방향성 참고용입니다</t>
    </r>
    <r>
      <rPr>
        <sz val="9"/>
        <color rgb="FF7A8794"/>
        <rFont val="Arial"/>
        <family val="0"/>
        <charset val="1"/>
      </rPr>
      <t xml:space="preserve">.</t>
    </r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</si>
</sst>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#,##0.0"/>
    <numFmt numFmtId="166" formatCode="#,##0.00"/>
    <numFmt numFmtId="167" formatCode="#,##0"/>
    <numFmt numFmtId="168" formatCode="0.0%"/>
    <numFmt numFmtId="169" formatCode="0.0"/>
  </numFmts>
  <fonts count="3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A5F"/>
      <name val="Noto Sans CJK SC"/>
      <family val="2"/>
    </font>
    <font>
      <sz val="9.5"/>
      <color rgb="FF7A8794"/>
      <name val="Arial"/>
      <family val="0"/>
      <charset val="1"/>
    </font>
    <font>
      <sz val="9.5"/>
      <color rgb="FF7A8794"/>
      <name val="Noto Sans CJK SC"/>
      <family val="2"/>
    </font>
    <font>
      <b val="true"/>
      <sz val="11"/>
      <name val="Noto Sans CJK SC"/>
      <family val="2"/>
    </font>
    <font>
      <sz val="10"/>
      <color rgb="FF0000FF"/>
      <name val="Noto Sans CJK SC"/>
      <family val="2"/>
    </font>
    <font>
      <sz val="10"/>
      <color rgb="FF0000FF"/>
      <name val="Arial"/>
      <family val="0"/>
      <charset val="1"/>
    </font>
    <font>
      <sz val="10"/>
      <name val="Noto Sans CJK SC"/>
      <family val="2"/>
    </font>
    <font>
      <sz val="10"/>
      <name val="Arial"/>
      <family val="0"/>
      <charset val="1"/>
    </font>
    <font>
      <sz val="10"/>
      <color rgb="FF008000"/>
      <name val="Noto Sans CJK SC"/>
      <family val="2"/>
    </font>
    <font>
      <sz val="10"/>
      <color rgb="FF00800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name val="Noto Sans CJK SC"/>
      <family val="2"/>
    </font>
    <font>
      <b val="true"/>
      <sz val="10"/>
      <color rgb="FFA33A3D"/>
      <name val="Noto Sans CJK SC"/>
      <family val="2"/>
    </font>
    <font>
      <b val="true"/>
      <sz val="10"/>
      <color rgb="FFA33A3D"/>
      <name val="Arial"/>
      <family val="0"/>
      <charset val="1"/>
    </font>
    <font>
      <sz val="10"/>
      <color rgb="FF7A8794"/>
      <name val="Noto Sans CJK SC"/>
      <family val="2"/>
    </font>
    <font>
      <sz val="10"/>
      <color rgb="FF7A8794"/>
      <name val="Arial"/>
      <family val="0"/>
      <charset val="1"/>
    </font>
    <font>
      <b val="true"/>
      <sz val="9.5"/>
      <color rgb="FFFFFFFF"/>
      <name val="Noto Sans CJK SC"/>
      <family val="2"/>
    </font>
    <font>
      <b val="true"/>
      <sz val="9.5"/>
      <color rgb="FFFFFFFF"/>
      <name val="Arial"/>
      <family val="0"/>
      <charset val="1"/>
    </font>
    <font>
      <sz val="9"/>
      <color rgb="FF7A8794"/>
      <name val="Noto Sans CJK SC"/>
      <family val="2"/>
    </font>
    <font>
      <sz val="9"/>
      <color rgb="FF7A8794"/>
      <name val="Arial"/>
      <family val="0"/>
      <charset val="1"/>
    </font>
    <font>
      <sz val="9"/>
      <color rgb="FFA33A3D"/>
      <name val="Noto Sans CJK SC"/>
      <family val="2"/>
    </font>
    <font>
      <sz val="9"/>
      <color rgb="FFA33A3D"/>
      <name val="Arial"/>
      <family val="0"/>
      <charset val="1"/>
    </font>
    <font>
      <sz val="9"/>
      <color rgb="FF8E6A20"/>
      <name val="Arial"/>
      <family val="0"/>
      <charset val="1"/>
    </font>
    <font>
      <sz val="9"/>
      <color rgb="FF8E6A20"/>
      <name val="Noto Sans CJK SC"/>
      <family val="2"/>
    </font>
    <font>
      <b val="true"/>
      <sz val="14"/>
      <color rgb="FF1F3A5F"/>
      <name val="Arial"/>
      <family val="0"/>
      <charset val="1"/>
    </font>
    <font>
      <sz val="9.5"/>
      <color rgb="FF2B3440"/>
      <name val="Noto Sans CJK SC"/>
      <family val="2"/>
    </font>
    <font>
      <sz val="9.5"/>
      <color rgb="FF2B3440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1F3A5F"/>
        <bgColor rgb="FF2B3440"/>
      </patternFill>
    </fill>
    <fill>
      <patternFill patternType="solid">
        <fgColor rgb="FFF6E9E9"/>
        <bgColor rgb="FFE7F0EA"/>
      </patternFill>
    </fill>
    <fill>
      <patternFill patternType="solid">
        <fgColor rgb="FFF5F7F9"/>
        <bgColor rgb="FFFBF6EC"/>
      </patternFill>
    </fill>
    <fill>
      <patternFill patternType="solid">
        <fgColor rgb="FFFBF6EC"/>
        <bgColor rgb="FFF5F7F9"/>
      </patternFill>
    </fill>
    <fill>
      <patternFill patternType="solid">
        <fgColor rgb="FFE7F0EA"/>
        <bgColor rgb="FFF6E9E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FE5"/>
      </left>
      <right style="thin">
        <color rgb="FFD9DFE5"/>
      </right>
      <top style="thin">
        <color rgb="FFD9DFE5"/>
      </top>
      <bottom style="thin">
        <color rgb="FFD9DFE5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1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9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4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4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4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4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1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1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4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4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9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1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9" fontId="14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4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4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5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9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1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1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14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1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4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1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E6A20"/>
      <rgbColor rgb="FF800080"/>
      <rgbColor rgb="FF008080"/>
      <rgbColor rgb="FFC0C0C0"/>
      <rgbColor rgb="FF7A8794"/>
      <rgbColor rgb="FF9999FF"/>
      <rgbColor rgb="FFA33A3D"/>
      <rgbColor rgb="FFFBF6EC"/>
      <rgbColor rgb="FFE7F0EA"/>
      <rgbColor rgb="FF660066"/>
      <rgbColor rgb="FFFF8080"/>
      <rgbColor rgb="FF0066CC"/>
      <rgbColor rgb="FFD9DFE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5F7F9"/>
      <rgbColor rgb="FFF6E9E9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A5F"/>
      <rgbColor rgb="FF339966"/>
      <rgbColor rgb="FF003300"/>
      <rgbColor rgb="FF333300"/>
      <rgbColor rgb="FF993300"/>
      <rgbColor rgb="FF993366"/>
      <rgbColor rgb="FF333399"/>
      <rgbColor rgb="FF2B34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74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A5" s="4" t="s">
        <v>3</v>
      </c>
    </row>
    <row r="6" customFormat="false" ht="15" hidden="false" customHeight="false" outlineLevel="0" collapsed="false">
      <c r="A6" s="5" t="s">
        <v>4</v>
      </c>
    </row>
    <row r="7" customFormat="false" ht="15" hidden="false" customHeight="false" outlineLevel="0" collapsed="false">
      <c r="A7" s="6" t="s">
        <v>5</v>
      </c>
    </row>
    <row r="8" customFormat="false" ht="15" hidden="false" customHeight="false" outlineLevel="0" collapsed="false">
      <c r="A8" s="7" t="s">
        <v>6</v>
      </c>
    </row>
    <row r="10" customFormat="false" ht="15" hidden="false" customHeight="false" outlineLevel="0" collapsed="false">
      <c r="A10" s="3" t="s">
        <v>7</v>
      </c>
    </row>
    <row r="11" customFormat="false" ht="15" hidden="false" customHeight="false" outlineLevel="0" collapsed="false">
      <c r="A11" s="8" t="s">
        <v>8</v>
      </c>
      <c r="B11" s="5" t="s">
        <v>9</v>
      </c>
    </row>
    <row r="12" customFormat="false" ht="15" hidden="false" customHeight="false" outlineLevel="0" collapsed="false">
      <c r="A12" s="8" t="s">
        <v>10</v>
      </c>
      <c r="B12" s="5" t="s">
        <v>11</v>
      </c>
    </row>
    <row r="13" customFormat="false" ht="15" hidden="false" customHeight="false" outlineLevel="0" collapsed="false">
      <c r="A13" s="8" t="s">
        <v>12</v>
      </c>
      <c r="B13" s="9" t="s">
        <v>13</v>
      </c>
    </row>
    <row r="14" customFormat="false" ht="15" hidden="false" customHeight="false" outlineLevel="0" collapsed="false">
      <c r="A14" s="8" t="s">
        <v>14</v>
      </c>
      <c r="B14" s="5" t="s">
        <v>15</v>
      </c>
    </row>
    <row r="15" customFormat="false" ht="15" hidden="false" customHeight="false" outlineLevel="0" collapsed="false">
      <c r="A15" s="8" t="s">
        <v>16</v>
      </c>
      <c r="B15" s="5" t="s">
        <v>17</v>
      </c>
    </row>
    <row r="16" customFormat="false" ht="15" hidden="false" customHeight="false" outlineLevel="0" collapsed="false">
      <c r="A16" s="8" t="s">
        <v>18</v>
      </c>
      <c r="B16" s="5" t="s">
        <v>19</v>
      </c>
    </row>
    <row r="17" customFormat="false" ht="15" hidden="false" customHeight="false" outlineLevel="0" collapsed="false">
      <c r="A17" s="10" t="s">
        <v>20</v>
      </c>
      <c r="B17" s="5" t="s">
        <v>21</v>
      </c>
    </row>
    <row r="18" customFormat="false" ht="15" hidden="false" customHeight="false" outlineLevel="0" collapsed="false">
      <c r="A18" s="11" t="s">
        <v>22</v>
      </c>
      <c r="B18" s="5" t="s">
        <v>23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8"/>
    <col collapsed="false" customWidth="true" hidden="false" outlineLevel="0" max="4" min="3" style="0" width="14"/>
    <col collapsed="false" customWidth="true" hidden="false" outlineLevel="0" max="5" min="5" style="0" width="17"/>
    <col collapsed="false" customWidth="true" hidden="false" outlineLevel="0" max="6" min="6" style="0" width="11"/>
    <col collapsed="false" customWidth="true" hidden="false" outlineLevel="0" max="7" min="7" style="0" width="20"/>
    <col collapsed="false" customWidth="true" hidden="false" outlineLevel="0" max="10" min="8" style="0" width="15"/>
  </cols>
  <sheetData>
    <row r="1" customFormat="false" ht="17.35" hidden="false" customHeight="false" outlineLevel="0" collapsed="false">
      <c r="A1" s="1" t="s">
        <v>24</v>
      </c>
    </row>
    <row r="2" customFormat="false" ht="15" hidden="false" customHeight="false" outlineLevel="0" collapsed="false">
      <c r="A2" s="12" t="s">
        <v>25</v>
      </c>
    </row>
    <row r="4" customFormat="false" ht="30" hidden="false" customHeight="true" outlineLevel="0" collapsed="false">
      <c r="A4" s="13" t="s">
        <v>26</v>
      </c>
      <c r="B4" s="13" t="s">
        <v>27</v>
      </c>
      <c r="C4" s="13" t="s">
        <v>28</v>
      </c>
      <c r="D4" s="13" t="s">
        <v>29</v>
      </c>
      <c r="E4" s="13" t="s">
        <v>30</v>
      </c>
      <c r="F4" s="13" t="s">
        <v>31</v>
      </c>
      <c r="G4" s="13" t="s">
        <v>32</v>
      </c>
      <c r="H4" s="13" t="s">
        <v>33</v>
      </c>
      <c r="I4" s="13" t="s">
        <v>34</v>
      </c>
      <c r="J4" s="13" t="s">
        <v>35</v>
      </c>
    </row>
    <row r="5" customFormat="false" ht="15" hidden="false" customHeight="false" outlineLevel="0" collapsed="false">
      <c r="A5" s="14" t="s">
        <v>36</v>
      </c>
      <c r="B5" s="15" t="s">
        <v>37</v>
      </c>
      <c r="C5" s="16" t="n">
        <v>511.7</v>
      </c>
      <c r="D5" s="17" t="n">
        <f aca="false">C5/3.3058</f>
        <v>154.788553451509</v>
      </c>
      <c r="E5" s="18" t="n">
        <v>48561982</v>
      </c>
      <c r="F5" s="15" t="s">
        <v>38</v>
      </c>
      <c r="G5" s="14" t="s">
        <v>39</v>
      </c>
      <c r="H5" s="16" t="n">
        <v>0</v>
      </c>
      <c r="I5" s="19" t="s">
        <v>40</v>
      </c>
      <c r="J5" s="20" t="n">
        <f aca="false">C5-H5</f>
        <v>511.7</v>
      </c>
    </row>
    <row r="6" customFormat="false" ht="15" hidden="false" customHeight="false" outlineLevel="0" collapsed="false">
      <c r="A6" s="14" t="s">
        <v>41</v>
      </c>
      <c r="B6" s="15" t="s">
        <v>37</v>
      </c>
      <c r="C6" s="16" t="n">
        <v>104.4</v>
      </c>
      <c r="D6" s="17" t="n">
        <f aca="false">C6/3.3058</f>
        <v>31.5808578861395</v>
      </c>
      <c r="E6" s="18" t="n">
        <v>48561982</v>
      </c>
      <c r="F6" s="15" t="s">
        <v>38</v>
      </c>
      <c r="G6" s="21" t="s">
        <v>42</v>
      </c>
      <c r="H6" s="22" t="n">
        <v>12.5</v>
      </c>
      <c r="I6" s="15" t="s">
        <v>43</v>
      </c>
      <c r="J6" s="20" t="n">
        <f aca="false">C6-H6</f>
        <v>91.9</v>
      </c>
    </row>
    <row r="7" customFormat="false" ht="15" hidden="false" customHeight="false" outlineLevel="0" collapsed="false">
      <c r="A7" s="23" t="s">
        <v>44</v>
      </c>
      <c r="B7" s="24"/>
      <c r="C7" s="25" t="n">
        <f aca="false">SUM(C5:C6)</f>
        <v>616.1</v>
      </c>
      <c r="D7" s="26" t="n">
        <f aca="false">SUM(D5:D6)</f>
        <v>186.369411337649</v>
      </c>
      <c r="E7" s="24"/>
      <c r="F7" s="24"/>
      <c r="G7" s="24"/>
      <c r="H7" s="27" t="n">
        <f aca="false">SUM(H5:H6)</f>
        <v>12.5</v>
      </c>
      <c r="I7" s="24"/>
      <c r="J7" s="28" t="n">
        <f aca="false">SUM(J5:J6)</f>
        <v>603.6</v>
      </c>
    </row>
    <row r="9" customFormat="false" ht="15" hidden="false" customHeight="false" outlineLevel="0" collapsed="false">
      <c r="A9" s="29" t="s">
        <v>45</v>
      </c>
    </row>
    <row r="10" customFormat="false" ht="15" hidden="false" customHeight="false" outlineLevel="0" collapsed="false">
      <c r="A10" s="30" t="s">
        <v>46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6"/>
    <col collapsed="false" customWidth="true" hidden="false" outlineLevel="0" max="4" min="3" style="0" width="13"/>
    <col collapsed="false" customWidth="true" hidden="false" outlineLevel="0" max="5" min="5" style="0" width="17"/>
  </cols>
  <sheetData>
    <row r="1" customFormat="false" ht="17.35" hidden="false" customHeight="false" outlineLevel="0" collapsed="false">
      <c r="A1" s="1" t="s">
        <v>47</v>
      </c>
    </row>
    <row r="2" customFormat="false" ht="15" hidden="false" customHeight="false" outlineLevel="0" collapsed="false">
      <c r="A2" s="12" t="s">
        <v>48</v>
      </c>
    </row>
    <row r="4" customFormat="false" ht="30" hidden="false" customHeight="true" outlineLevel="0" collapsed="false">
      <c r="A4" s="13" t="s">
        <v>49</v>
      </c>
      <c r="B4" s="13" t="s">
        <v>50</v>
      </c>
      <c r="C4" s="13" t="s">
        <v>51</v>
      </c>
      <c r="D4" s="13" t="s">
        <v>52</v>
      </c>
      <c r="E4" s="13" t="s">
        <v>53</v>
      </c>
    </row>
    <row r="5" customFormat="false" ht="15" hidden="false" customHeight="false" outlineLevel="0" collapsed="false">
      <c r="A5" s="15" t="s">
        <v>54</v>
      </c>
      <c r="B5" s="14" t="s">
        <v>55</v>
      </c>
      <c r="C5" s="31" t="n">
        <v>96.43</v>
      </c>
      <c r="D5" s="17" t="n">
        <f aca="false">C5*3.3058</f>
        <v>318.778294</v>
      </c>
      <c r="E5" s="15" t="s">
        <v>43</v>
      </c>
    </row>
    <row r="6" customFormat="false" ht="15" hidden="false" customHeight="false" outlineLevel="0" collapsed="false">
      <c r="A6" s="15" t="s">
        <v>54</v>
      </c>
      <c r="B6" s="14" t="s">
        <v>55</v>
      </c>
      <c r="C6" s="31" t="n">
        <v>44.1</v>
      </c>
      <c r="D6" s="17" t="n">
        <f aca="false">C6*3.3058</f>
        <v>145.78578</v>
      </c>
      <c r="E6" s="15" t="s">
        <v>43</v>
      </c>
    </row>
    <row r="7" customFormat="false" ht="15" hidden="false" customHeight="false" outlineLevel="0" collapsed="false">
      <c r="A7" s="15" t="s">
        <v>54</v>
      </c>
      <c r="B7" s="14" t="s">
        <v>55</v>
      </c>
      <c r="C7" s="31" t="n">
        <v>14.02</v>
      </c>
      <c r="D7" s="17" t="n">
        <f aca="false">C7*3.3058</f>
        <v>46.347316</v>
      </c>
      <c r="E7" s="15" t="s">
        <v>43</v>
      </c>
    </row>
    <row r="8" customFormat="false" ht="15" hidden="false" customHeight="false" outlineLevel="0" collapsed="false">
      <c r="A8" s="15" t="s">
        <v>56</v>
      </c>
      <c r="B8" s="14" t="s">
        <v>57</v>
      </c>
      <c r="C8" s="31" t="n">
        <v>31.37</v>
      </c>
      <c r="D8" s="17" t="n">
        <f aca="false">C8*3.3058</f>
        <v>103.702946</v>
      </c>
      <c r="E8" s="15" t="s">
        <v>43</v>
      </c>
    </row>
    <row r="9" customFormat="false" ht="15" hidden="false" customHeight="false" outlineLevel="0" collapsed="false">
      <c r="A9" s="15" t="s">
        <v>56</v>
      </c>
      <c r="B9" s="14" t="s">
        <v>58</v>
      </c>
      <c r="C9" s="31" t="n">
        <v>28.15</v>
      </c>
      <c r="D9" s="17" t="n">
        <f aca="false">C9*3.3058</f>
        <v>93.05827</v>
      </c>
      <c r="E9" s="15" t="s">
        <v>43</v>
      </c>
    </row>
    <row r="10" customFormat="false" ht="15" hidden="false" customHeight="false" outlineLevel="0" collapsed="false">
      <c r="A10" s="15" t="s">
        <v>56</v>
      </c>
      <c r="B10" s="14" t="s">
        <v>55</v>
      </c>
      <c r="C10" s="31" t="n">
        <v>12.16</v>
      </c>
      <c r="D10" s="17" t="n">
        <f aca="false">C10*3.3058</f>
        <v>40.198528</v>
      </c>
      <c r="E10" s="15" t="s">
        <v>43</v>
      </c>
    </row>
    <row r="11" customFormat="false" ht="15" hidden="false" customHeight="false" outlineLevel="0" collapsed="false">
      <c r="A11" s="15" t="s">
        <v>56</v>
      </c>
      <c r="B11" s="14" t="s">
        <v>59</v>
      </c>
      <c r="C11" s="31" t="n">
        <v>9.68</v>
      </c>
      <c r="D11" s="17" t="n">
        <f aca="false">C11*3.3058</f>
        <v>32.000144</v>
      </c>
      <c r="E11" s="15" t="s">
        <v>43</v>
      </c>
    </row>
    <row r="12" customFormat="false" ht="15" hidden="false" customHeight="false" outlineLevel="0" collapsed="false">
      <c r="A12" s="15" t="s">
        <v>56</v>
      </c>
      <c r="B12" s="14" t="s">
        <v>60</v>
      </c>
      <c r="C12" s="31" t="n">
        <v>7.99</v>
      </c>
      <c r="D12" s="17" t="n">
        <f aca="false">C12*3.3058</f>
        <v>26.413342</v>
      </c>
      <c r="E12" s="15" t="s">
        <v>61</v>
      </c>
    </row>
    <row r="13" customFormat="false" ht="15" hidden="false" customHeight="false" outlineLevel="0" collapsed="false">
      <c r="A13" s="15" t="s">
        <v>62</v>
      </c>
      <c r="B13" s="14" t="s">
        <v>63</v>
      </c>
      <c r="C13" s="31" t="n">
        <v>80.58</v>
      </c>
      <c r="D13" s="17" t="n">
        <f aca="false">C13*3.3058</f>
        <v>266.381364</v>
      </c>
      <c r="E13" s="15" t="s">
        <v>43</v>
      </c>
    </row>
    <row r="14" customFormat="false" ht="15" hidden="false" customHeight="false" outlineLevel="0" collapsed="false">
      <c r="A14" s="15" t="s">
        <v>62</v>
      </c>
      <c r="B14" s="14" t="s">
        <v>55</v>
      </c>
      <c r="C14" s="31" t="n">
        <v>12.16</v>
      </c>
      <c r="D14" s="17" t="n">
        <f aca="false">C14*3.3058</f>
        <v>40.198528</v>
      </c>
      <c r="E14" s="15" t="s">
        <v>43</v>
      </c>
    </row>
    <row r="15" customFormat="false" ht="15" hidden="false" customHeight="false" outlineLevel="0" collapsed="false">
      <c r="A15" s="15" t="s">
        <v>64</v>
      </c>
      <c r="B15" s="14" t="s">
        <v>65</v>
      </c>
      <c r="C15" s="31" t="n">
        <v>41.02</v>
      </c>
      <c r="D15" s="17" t="n">
        <f aca="false">C15*3.3058</f>
        <v>135.603916</v>
      </c>
      <c r="E15" s="15" t="s">
        <v>43</v>
      </c>
    </row>
    <row r="16" customFormat="false" ht="15" hidden="false" customHeight="false" outlineLevel="0" collapsed="false">
      <c r="A16" s="15" t="s">
        <v>64</v>
      </c>
      <c r="B16" s="14" t="s">
        <v>66</v>
      </c>
      <c r="C16" s="31" t="n">
        <v>39.55</v>
      </c>
      <c r="D16" s="17" t="n">
        <f aca="false">C16*3.3058</f>
        <v>130.74439</v>
      </c>
      <c r="E16" s="15" t="s">
        <v>43</v>
      </c>
    </row>
    <row r="17" customFormat="false" ht="15" hidden="false" customHeight="false" outlineLevel="0" collapsed="false">
      <c r="A17" s="15" t="s">
        <v>64</v>
      </c>
      <c r="B17" s="14" t="s">
        <v>55</v>
      </c>
      <c r="C17" s="31" t="n">
        <v>12.16</v>
      </c>
      <c r="D17" s="17" t="n">
        <f aca="false">C17*3.3058</f>
        <v>40.198528</v>
      </c>
      <c r="E17" s="15" t="s">
        <v>43</v>
      </c>
    </row>
    <row r="18" customFormat="false" ht="15" hidden="false" customHeight="false" outlineLevel="0" collapsed="false">
      <c r="A18" s="15" t="s">
        <v>67</v>
      </c>
      <c r="B18" s="14" t="s">
        <v>65</v>
      </c>
      <c r="C18" s="31" t="n">
        <v>80.58</v>
      </c>
      <c r="D18" s="17" t="n">
        <f aca="false">C18*3.3058</f>
        <v>266.381364</v>
      </c>
      <c r="E18" s="15" t="s">
        <v>43</v>
      </c>
    </row>
    <row r="19" customFormat="false" ht="15" hidden="false" customHeight="false" outlineLevel="0" collapsed="false">
      <c r="A19" s="15" t="s">
        <v>67</v>
      </c>
      <c r="B19" s="14" t="s">
        <v>55</v>
      </c>
      <c r="C19" s="31" t="n">
        <v>12.16</v>
      </c>
      <c r="D19" s="17" t="n">
        <f aca="false">C19*3.3058</f>
        <v>40.198528</v>
      </c>
      <c r="E19" s="15" t="s">
        <v>43</v>
      </c>
    </row>
    <row r="20" customFormat="false" ht="15" hidden="false" customHeight="false" outlineLevel="0" collapsed="false">
      <c r="A20" s="15" t="s">
        <v>68</v>
      </c>
      <c r="B20" s="14" t="s">
        <v>69</v>
      </c>
      <c r="C20" s="31" t="n">
        <v>41.06</v>
      </c>
      <c r="D20" s="17" t="n">
        <f aca="false">C20*3.3058</f>
        <v>135.736148</v>
      </c>
      <c r="E20" s="15" t="s">
        <v>43</v>
      </c>
    </row>
    <row r="21" customFormat="false" ht="15" hidden="false" customHeight="false" outlineLevel="0" collapsed="false">
      <c r="A21" s="15" t="s">
        <v>68</v>
      </c>
      <c r="B21" s="14" t="s">
        <v>69</v>
      </c>
      <c r="C21" s="31" t="n">
        <v>39.52</v>
      </c>
      <c r="D21" s="17" t="n">
        <f aca="false">C21*3.3058</f>
        <v>130.645216</v>
      </c>
      <c r="E21" s="15" t="s">
        <v>43</v>
      </c>
    </row>
    <row r="22" customFormat="false" ht="15" hidden="false" customHeight="false" outlineLevel="0" collapsed="false">
      <c r="A22" s="15" t="s">
        <v>68</v>
      </c>
      <c r="B22" s="14" t="s">
        <v>55</v>
      </c>
      <c r="C22" s="31" t="n">
        <v>12.16</v>
      </c>
      <c r="D22" s="17" t="n">
        <f aca="false">C22*3.3058</f>
        <v>40.198528</v>
      </c>
      <c r="E22" s="15" t="s">
        <v>43</v>
      </c>
    </row>
    <row r="23" customFormat="false" ht="15" hidden="false" customHeight="false" outlineLevel="0" collapsed="false">
      <c r="A23" s="23" t="s">
        <v>44</v>
      </c>
      <c r="B23" s="24"/>
      <c r="C23" s="26" t="n">
        <f aca="false">SUM(C5:C22)</f>
        <v>614.85</v>
      </c>
      <c r="D23" s="26" t="n">
        <f aca="false">SUM(D5:D22)</f>
        <v>2032.57113</v>
      </c>
      <c r="E23" s="24"/>
    </row>
    <row r="25" customFormat="false" ht="15" hidden="false" customHeight="false" outlineLevel="0" collapsed="false">
      <c r="A25" s="29" t="s">
        <v>70</v>
      </c>
    </row>
    <row r="26" customFormat="false" ht="15" hidden="false" customHeight="false" outlineLevel="0" collapsed="false">
      <c r="A26" s="32" t="s">
        <v>71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9"/>
    <col collapsed="false" customWidth="true" hidden="false" outlineLevel="0" max="3" min="3" style="0" width="16"/>
    <col collapsed="false" customWidth="true" hidden="false" outlineLevel="0" max="5" min="4" style="0" width="13"/>
    <col collapsed="false" customWidth="true" hidden="false" outlineLevel="0" max="6" min="6" style="0" width="9"/>
    <col collapsed="false" customWidth="true" hidden="false" outlineLevel="0" max="8" min="7" style="0" width="15"/>
    <col collapsed="false" customWidth="true" hidden="false" outlineLevel="0" max="9" min="9" style="0" width="14"/>
    <col collapsed="false" customWidth="true" hidden="false" outlineLevel="0" max="11" min="10" style="0" width="13"/>
    <col collapsed="false" customWidth="true" hidden="false" outlineLevel="0" max="12" min="12" style="0" width="12"/>
    <col collapsed="false" customWidth="true" hidden="false" outlineLevel="0" max="13" min="13" style="0" width="16"/>
    <col collapsed="false" customWidth="true" hidden="false" outlineLevel="0" max="14" min="14" style="0" width="13"/>
    <col collapsed="false" customWidth="true" hidden="false" outlineLevel="0" max="15" min="15" style="0" width="12"/>
  </cols>
  <sheetData>
    <row r="1" customFormat="false" ht="21.6" hidden="false" customHeight="false" outlineLevel="0" collapsed="false">
      <c r="A1" s="1" t="s">
        <v>72</v>
      </c>
    </row>
    <row r="2" customFormat="false" ht="15" hidden="false" customHeight="false" outlineLevel="0" collapsed="false">
      <c r="A2" s="12" t="s">
        <v>73</v>
      </c>
    </row>
    <row r="4" customFormat="false" ht="30" hidden="false" customHeight="true" outlineLevel="0" collapsed="false">
      <c r="A4" s="13" t="s">
        <v>49</v>
      </c>
      <c r="B4" s="13" t="s">
        <v>74</v>
      </c>
      <c r="C4" s="13" t="s">
        <v>75</v>
      </c>
      <c r="D4" s="13" t="s">
        <v>76</v>
      </c>
      <c r="E4" s="13" t="s">
        <v>77</v>
      </c>
      <c r="F4" s="13" t="s">
        <v>78</v>
      </c>
      <c r="G4" s="13" t="s">
        <v>79</v>
      </c>
      <c r="H4" s="13" t="s">
        <v>80</v>
      </c>
      <c r="I4" s="13" t="s">
        <v>81</v>
      </c>
      <c r="J4" s="13" t="s">
        <v>82</v>
      </c>
      <c r="K4" s="13" t="s">
        <v>83</v>
      </c>
      <c r="L4" s="13" t="s">
        <v>84</v>
      </c>
      <c r="M4" s="13" t="s">
        <v>85</v>
      </c>
      <c r="N4" s="13" t="s">
        <v>86</v>
      </c>
      <c r="O4" s="13" t="s">
        <v>87</v>
      </c>
    </row>
    <row r="5" customFormat="false" ht="15" hidden="false" customHeight="false" outlineLevel="0" collapsed="false">
      <c r="A5" s="19" t="s">
        <v>88</v>
      </c>
      <c r="B5" s="19" t="s">
        <v>89</v>
      </c>
      <c r="C5" s="14" t="s">
        <v>90</v>
      </c>
      <c r="D5" s="31" t="n">
        <v>96.43</v>
      </c>
      <c r="E5" s="31" t="n">
        <v>74.2</v>
      </c>
      <c r="F5" s="33" t="n">
        <f aca="false">E5/D5</f>
        <v>0.769470081924712</v>
      </c>
      <c r="G5" s="18" t="n">
        <v>340000000</v>
      </c>
      <c r="H5" s="18" t="n">
        <v>3370000</v>
      </c>
      <c r="I5" s="18" t="n">
        <v>290000</v>
      </c>
      <c r="J5" s="34" t="n">
        <f aca="false">ROUND(H5/E5,0)</f>
        <v>45418</v>
      </c>
      <c r="K5" s="19" t="s">
        <v>91</v>
      </c>
      <c r="L5" s="19" t="s">
        <v>92</v>
      </c>
      <c r="M5" s="34" t="n">
        <f aca="false">G5+H5*100</f>
        <v>677000000</v>
      </c>
      <c r="N5" s="35" t="str">
        <f aca="false">IF(M5&lt;=$B$20,"전면 적용","일부 적용")</f>
        <v>전면 적용</v>
      </c>
      <c r="O5" s="15" t="s">
        <v>93</v>
      </c>
    </row>
    <row r="6" customFormat="false" ht="15" hidden="false" customHeight="false" outlineLevel="0" collapsed="false">
      <c r="A6" s="19" t="s">
        <v>88</v>
      </c>
      <c r="B6" s="19" t="s">
        <v>94</v>
      </c>
      <c r="C6" s="14" t="s">
        <v>95</v>
      </c>
      <c r="D6" s="31" t="n">
        <v>44.1</v>
      </c>
      <c r="E6" s="31" t="n">
        <v>35.3</v>
      </c>
      <c r="F6" s="33" t="n">
        <f aca="false">E6/D6</f>
        <v>0.800453514739229</v>
      </c>
      <c r="G6" s="18" t="n">
        <v>60000000</v>
      </c>
      <c r="H6" s="18" t="n">
        <v>880000</v>
      </c>
      <c r="I6" s="18" t="n">
        <v>130000</v>
      </c>
      <c r="J6" s="34" t="n">
        <f aca="false">ROUND(H6/E6,0)</f>
        <v>24929</v>
      </c>
      <c r="K6" s="19" t="s">
        <v>96</v>
      </c>
      <c r="L6" s="19" t="s">
        <v>97</v>
      </c>
      <c r="M6" s="34" t="n">
        <f aca="false">G6+H6*100</f>
        <v>148000000</v>
      </c>
      <c r="N6" s="35" t="str">
        <f aca="false">IF(M6&lt;=$B$20,"전면 적용","일부 적용")</f>
        <v>전면 적용</v>
      </c>
      <c r="O6" s="36" t="s">
        <v>98</v>
      </c>
    </row>
    <row r="7" customFormat="false" ht="15" hidden="false" customHeight="false" outlineLevel="0" collapsed="false">
      <c r="A7" s="19" t="s">
        <v>99</v>
      </c>
      <c r="B7" s="19" t="s">
        <v>100</v>
      </c>
      <c r="C7" s="14" t="s">
        <v>57</v>
      </c>
      <c r="D7" s="31" t="n">
        <v>31.37</v>
      </c>
      <c r="E7" s="31" t="n">
        <v>24.6</v>
      </c>
      <c r="F7" s="33" t="n">
        <f aca="false">E7/D7</f>
        <v>0.784188715333121</v>
      </c>
      <c r="G7" s="18" t="n">
        <v>50000000</v>
      </c>
      <c r="H7" s="18" t="n">
        <v>4700000</v>
      </c>
      <c r="I7" s="18" t="n">
        <v>100000</v>
      </c>
      <c r="J7" s="34" t="n">
        <f aca="false">ROUND(H7/E7,0)</f>
        <v>191057</v>
      </c>
      <c r="K7" s="19" t="s">
        <v>101</v>
      </c>
      <c r="L7" s="19" t="s">
        <v>102</v>
      </c>
      <c r="M7" s="34" t="n">
        <f aca="false">G7+H7*100</f>
        <v>520000000</v>
      </c>
      <c r="N7" s="35" t="str">
        <f aca="false">IF(M7&lt;=$B$20,"전면 적용","일부 적용")</f>
        <v>전면 적용</v>
      </c>
      <c r="O7" s="37" t="s">
        <v>103</v>
      </c>
    </row>
    <row r="8" customFormat="false" ht="15" hidden="false" customHeight="false" outlineLevel="0" collapsed="false">
      <c r="A8" s="19" t="s">
        <v>99</v>
      </c>
      <c r="B8" s="19" t="s">
        <v>104</v>
      </c>
      <c r="C8" s="14" t="s">
        <v>58</v>
      </c>
      <c r="D8" s="31" t="n">
        <v>28.15</v>
      </c>
      <c r="E8" s="31" t="n">
        <v>22.1</v>
      </c>
      <c r="F8" s="33" t="n">
        <f aca="false">E8/D8</f>
        <v>0.785079928952043</v>
      </c>
      <c r="G8" s="18" t="n">
        <v>60000000</v>
      </c>
      <c r="H8" s="18" t="n">
        <v>4500000</v>
      </c>
      <c r="I8" s="18" t="n">
        <v>90000</v>
      </c>
      <c r="J8" s="34" t="n">
        <f aca="false">ROUND(H8/E8,0)</f>
        <v>203620</v>
      </c>
      <c r="K8" s="19" t="s">
        <v>105</v>
      </c>
      <c r="L8" s="19" t="s">
        <v>106</v>
      </c>
      <c r="M8" s="34" t="n">
        <f aca="false">G8+H8*100</f>
        <v>510000000</v>
      </c>
      <c r="N8" s="35" t="str">
        <f aca="false">IF(M8&lt;=$B$20,"전면 적용","일부 적용")</f>
        <v>전면 적용</v>
      </c>
      <c r="O8" s="37" t="s">
        <v>103</v>
      </c>
    </row>
    <row r="9" customFormat="false" ht="15" hidden="false" customHeight="false" outlineLevel="0" collapsed="false">
      <c r="A9" s="19" t="s">
        <v>99</v>
      </c>
      <c r="B9" s="19" t="s">
        <v>107</v>
      </c>
      <c r="C9" s="14" t="s">
        <v>59</v>
      </c>
      <c r="D9" s="31" t="n">
        <v>9.68</v>
      </c>
      <c r="E9" s="31" t="n">
        <v>7.6</v>
      </c>
      <c r="F9" s="33" t="n">
        <f aca="false">E9/D9</f>
        <v>0.785123966942149</v>
      </c>
      <c r="G9" s="18" t="n">
        <v>20000000</v>
      </c>
      <c r="H9" s="18" t="n">
        <v>1740000</v>
      </c>
      <c r="I9" s="18" t="n">
        <v>30000</v>
      </c>
      <c r="J9" s="34" t="n">
        <f aca="false">ROUND(H9/E9,0)</f>
        <v>228947</v>
      </c>
      <c r="K9" s="19" t="s">
        <v>108</v>
      </c>
      <c r="L9" s="19" t="s">
        <v>109</v>
      </c>
      <c r="M9" s="34" t="n">
        <f aca="false">G9+H9*100</f>
        <v>194000000</v>
      </c>
      <c r="N9" s="35" t="str">
        <f aca="false">IF(M9&lt;=$B$20,"전면 적용","일부 적용")</f>
        <v>전면 적용</v>
      </c>
      <c r="O9" s="15" t="s">
        <v>93</v>
      </c>
    </row>
    <row r="10" customFormat="false" ht="15" hidden="false" customHeight="false" outlineLevel="0" collapsed="false">
      <c r="A10" s="19" t="s">
        <v>110</v>
      </c>
      <c r="B10" s="19" t="s">
        <v>111</v>
      </c>
      <c r="C10" s="14" t="s">
        <v>63</v>
      </c>
      <c r="D10" s="31" t="n">
        <v>80.58</v>
      </c>
      <c r="E10" s="31" t="n">
        <v>62.8</v>
      </c>
      <c r="F10" s="33" t="n">
        <f aca="false">E10/D10</f>
        <v>0.779349714569372</v>
      </c>
      <c r="G10" s="18" t="n">
        <v>80000000</v>
      </c>
      <c r="H10" s="18" t="n">
        <v>7250000</v>
      </c>
      <c r="I10" s="18" t="n">
        <v>240000</v>
      </c>
      <c r="J10" s="34" t="n">
        <f aca="false">ROUND(H10/E10,0)</f>
        <v>115446</v>
      </c>
      <c r="K10" s="19" t="s">
        <v>112</v>
      </c>
      <c r="L10" s="19" t="s">
        <v>113</v>
      </c>
      <c r="M10" s="34" t="n">
        <f aca="false">G10+H10*100</f>
        <v>805000000</v>
      </c>
      <c r="N10" s="35" t="str">
        <f aca="false">IF(M10&lt;=$B$20,"전면 적용","일부 적용")</f>
        <v>전면 적용</v>
      </c>
      <c r="O10" s="15" t="s">
        <v>93</v>
      </c>
    </row>
    <row r="11" customFormat="false" ht="15" hidden="false" customHeight="false" outlineLevel="0" collapsed="false">
      <c r="A11" s="19" t="s">
        <v>114</v>
      </c>
      <c r="B11" s="19" t="s">
        <v>115</v>
      </c>
      <c r="C11" s="14" t="s">
        <v>65</v>
      </c>
      <c r="D11" s="31" t="n">
        <v>41.02</v>
      </c>
      <c r="E11" s="31" t="n">
        <v>32</v>
      </c>
      <c r="F11" s="33" t="n">
        <f aca="false">E11/D11</f>
        <v>0.780107264748903</v>
      </c>
      <c r="G11" s="18" t="n">
        <v>35000000</v>
      </c>
      <c r="H11" s="18" t="n">
        <v>2870000</v>
      </c>
      <c r="I11" s="18" t="n">
        <v>120000</v>
      </c>
      <c r="J11" s="34" t="n">
        <f aca="false">ROUND(H11/E11,0)</f>
        <v>89688</v>
      </c>
      <c r="K11" s="19" t="s">
        <v>116</v>
      </c>
      <c r="L11" s="19" t="s">
        <v>117</v>
      </c>
      <c r="M11" s="34" t="n">
        <f aca="false">G11+H11*100</f>
        <v>322000000</v>
      </c>
      <c r="N11" s="35" t="str">
        <f aca="false">IF(M11&lt;=$B$20,"전면 적용","일부 적용")</f>
        <v>전면 적용</v>
      </c>
      <c r="O11" s="37" t="s">
        <v>103</v>
      </c>
    </row>
    <row r="12" customFormat="false" ht="15" hidden="false" customHeight="false" outlineLevel="0" collapsed="false">
      <c r="A12" s="19" t="s">
        <v>114</v>
      </c>
      <c r="B12" s="19" t="s">
        <v>118</v>
      </c>
      <c r="C12" s="14" t="s">
        <v>66</v>
      </c>
      <c r="D12" s="31" t="n">
        <v>39.55</v>
      </c>
      <c r="E12" s="31" t="n">
        <v>30.8</v>
      </c>
      <c r="F12" s="33" t="n">
        <f aca="false">E12/D12</f>
        <v>0.778761061946903</v>
      </c>
      <c r="G12" s="18" t="n">
        <v>45000000</v>
      </c>
      <c r="H12" s="18" t="n">
        <v>3160000</v>
      </c>
      <c r="I12" s="18" t="n">
        <v>120000</v>
      </c>
      <c r="J12" s="34" t="n">
        <f aca="false">ROUND(H12/E12,0)</f>
        <v>102597</v>
      </c>
      <c r="K12" s="19" t="s">
        <v>119</v>
      </c>
      <c r="L12" s="19" t="s">
        <v>120</v>
      </c>
      <c r="M12" s="34" t="n">
        <f aca="false">G12+H12*100</f>
        <v>361000000</v>
      </c>
      <c r="N12" s="35" t="str">
        <f aca="false">IF(M12&lt;=$B$20,"전면 적용","일부 적용")</f>
        <v>전면 적용</v>
      </c>
      <c r="O12" s="15" t="s">
        <v>93</v>
      </c>
    </row>
    <row r="13" customFormat="false" ht="15" hidden="false" customHeight="false" outlineLevel="0" collapsed="false">
      <c r="A13" s="19" t="s">
        <v>121</v>
      </c>
      <c r="B13" s="19" t="s">
        <v>122</v>
      </c>
      <c r="C13" s="14" t="s">
        <v>65</v>
      </c>
      <c r="D13" s="31" t="n">
        <v>80.58</v>
      </c>
      <c r="E13" s="31" t="n">
        <v>62.8</v>
      </c>
      <c r="F13" s="33" t="n">
        <f aca="false">E13/D13</f>
        <v>0.779349714569372</v>
      </c>
      <c r="G13" s="18" t="n">
        <v>55000000</v>
      </c>
      <c r="H13" s="18" t="n">
        <v>5240000</v>
      </c>
      <c r="I13" s="18" t="n">
        <v>240000</v>
      </c>
      <c r="J13" s="34" t="n">
        <f aca="false">ROUND(H13/E13,0)</f>
        <v>83439</v>
      </c>
      <c r="K13" s="19" t="s">
        <v>123</v>
      </c>
      <c r="L13" s="19" t="s">
        <v>92</v>
      </c>
      <c r="M13" s="34" t="n">
        <f aca="false">G13+H13*100</f>
        <v>579000000</v>
      </c>
      <c r="N13" s="35" t="str">
        <f aca="false">IF(M13&lt;=$B$20,"전면 적용","일부 적용")</f>
        <v>전면 적용</v>
      </c>
      <c r="O13" s="36" t="s">
        <v>98</v>
      </c>
    </row>
    <row r="14" customFormat="false" ht="15" hidden="false" customHeight="false" outlineLevel="0" collapsed="false">
      <c r="A14" s="19" t="s">
        <v>124</v>
      </c>
      <c r="B14" s="19" t="s">
        <v>125</v>
      </c>
      <c r="C14" s="14" t="s">
        <v>69</v>
      </c>
      <c r="D14" s="31" t="n">
        <v>41.06</v>
      </c>
      <c r="E14" s="31" t="n">
        <v>32</v>
      </c>
      <c r="F14" s="33" t="n">
        <f aca="false">E14/D14</f>
        <v>0.779347296639065</v>
      </c>
      <c r="G14" s="18" t="n">
        <v>30000000</v>
      </c>
      <c r="H14" s="18" t="n">
        <v>2260000</v>
      </c>
      <c r="I14" s="18" t="n">
        <v>120000</v>
      </c>
      <c r="J14" s="34" t="n">
        <f aca="false">ROUND(H14/E14,0)</f>
        <v>70625</v>
      </c>
      <c r="K14" s="19" t="s">
        <v>126</v>
      </c>
      <c r="L14" s="19" t="s">
        <v>102</v>
      </c>
      <c r="M14" s="34" t="n">
        <f aca="false">G14+H14*100</f>
        <v>256000000</v>
      </c>
      <c r="N14" s="35" t="str">
        <f aca="false">IF(M14&lt;=$B$20,"전면 적용","일부 적용")</f>
        <v>전면 적용</v>
      </c>
      <c r="O14" s="37" t="s">
        <v>103</v>
      </c>
    </row>
    <row r="15" customFormat="false" ht="15" hidden="false" customHeight="false" outlineLevel="0" collapsed="false">
      <c r="A15" s="19" t="s">
        <v>124</v>
      </c>
      <c r="B15" s="19" t="s">
        <v>127</v>
      </c>
      <c r="C15" s="14" t="s">
        <v>69</v>
      </c>
      <c r="D15" s="31" t="n">
        <v>39.52</v>
      </c>
      <c r="E15" s="31" t="n">
        <v>30.8</v>
      </c>
      <c r="F15" s="33" t="n">
        <f aca="false">E15/D15</f>
        <v>0.779352226720648</v>
      </c>
      <c r="G15" s="18" t="n">
        <v>28000000</v>
      </c>
      <c r="H15" s="18" t="n">
        <v>2170000</v>
      </c>
      <c r="I15" s="18" t="n">
        <v>120000</v>
      </c>
      <c r="J15" s="34" t="n">
        <f aca="false">ROUND(H15/E15,0)</f>
        <v>70455</v>
      </c>
      <c r="K15" s="19" t="s">
        <v>128</v>
      </c>
      <c r="L15" s="19" t="s">
        <v>129</v>
      </c>
      <c r="M15" s="34" t="n">
        <f aca="false">G15+H15*100</f>
        <v>245000000</v>
      </c>
      <c r="N15" s="35" t="str">
        <f aca="false">IF(M15&lt;=$B$20,"전면 적용","일부 적용")</f>
        <v>전면 적용</v>
      </c>
      <c r="O15" s="15" t="s">
        <v>93</v>
      </c>
    </row>
    <row r="16" customFormat="false" ht="15" hidden="false" customHeight="false" outlineLevel="0" collapsed="false">
      <c r="A16" s="38" t="s">
        <v>44</v>
      </c>
      <c r="B16" s="24"/>
      <c r="C16" s="24"/>
      <c r="D16" s="26" t="n">
        <f aca="false">SUM(D5:D15)</f>
        <v>532.04</v>
      </c>
      <c r="E16" s="26" t="n">
        <f aca="false">SUM(E5:E15)</f>
        <v>415</v>
      </c>
      <c r="F16" s="39" t="n">
        <f aca="false">E16/D16</f>
        <v>0.780016540109766</v>
      </c>
      <c r="G16" s="40" t="n">
        <f aca="false">SUM(G5:G15)</f>
        <v>803000000</v>
      </c>
      <c r="H16" s="40" t="n">
        <f aca="false">SUM(H5:H15)</f>
        <v>38140000</v>
      </c>
      <c r="I16" s="40" t="n">
        <f aca="false">SUM(I5:I15)</f>
        <v>1600000</v>
      </c>
      <c r="J16" s="24"/>
      <c r="K16" s="24"/>
      <c r="L16" s="24"/>
      <c r="M16" s="24"/>
      <c r="N16" s="24"/>
      <c r="O16" s="24"/>
    </row>
    <row r="19" customFormat="false" ht="15" hidden="false" customHeight="false" outlineLevel="0" collapsed="false">
      <c r="A19" s="3" t="s">
        <v>130</v>
      </c>
    </row>
    <row r="20" customFormat="false" ht="15" hidden="false" customHeight="false" outlineLevel="0" collapsed="false">
      <c r="A20" s="5" t="s">
        <v>131</v>
      </c>
      <c r="B20" s="41" t="n">
        <v>900000000</v>
      </c>
    </row>
    <row r="22" customFormat="false" ht="15" hidden="false" customHeight="false" outlineLevel="0" collapsed="false">
      <c r="A22" s="30" t="s">
        <v>132</v>
      </c>
    </row>
    <row r="23" customFormat="false" ht="15" hidden="false" customHeight="false" outlineLevel="0" collapsed="false">
      <c r="A23" s="29" t="s">
        <v>133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9"/>
    <col collapsed="false" customWidth="true" hidden="false" outlineLevel="0" max="3" min="3" style="0" width="16"/>
    <col collapsed="false" customWidth="true" hidden="false" outlineLevel="0" max="4" min="4" style="0" width="13"/>
    <col collapsed="false" customWidth="true" hidden="false" outlineLevel="0" max="5" min="5" style="0" width="11"/>
    <col collapsed="false" customWidth="true" hidden="false" outlineLevel="0" max="6" min="6" style="0" width="15"/>
    <col collapsed="false" customWidth="true" hidden="false" outlineLevel="0" max="7" min="7" style="0" width="14"/>
    <col collapsed="false" customWidth="true" hidden="false" outlineLevel="0" max="8" min="8" style="0" width="12"/>
    <col collapsed="false" customWidth="true" hidden="false" outlineLevel="0" max="9" min="9" style="0" width="17"/>
    <col collapsed="false" customWidth="true" hidden="false" outlineLevel="0" max="10" min="10" style="0" width="32"/>
  </cols>
  <sheetData>
    <row r="1" customFormat="false" ht="17.35" hidden="false" customHeight="false" outlineLevel="0" collapsed="false">
      <c r="A1" s="1" t="s">
        <v>134</v>
      </c>
    </row>
    <row r="2" customFormat="false" ht="15" hidden="false" customHeight="false" outlineLevel="0" collapsed="false">
      <c r="A2" s="12" t="s">
        <v>135</v>
      </c>
    </row>
    <row r="4" customFormat="false" ht="30" hidden="false" customHeight="true" outlineLevel="0" collapsed="false">
      <c r="A4" s="13" t="s">
        <v>49</v>
      </c>
      <c r="B4" s="13" t="s">
        <v>74</v>
      </c>
      <c r="C4" s="13" t="s">
        <v>75</v>
      </c>
      <c r="D4" s="13" t="s">
        <v>83</v>
      </c>
      <c r="E4" s="13" t="s">
        <v>136</v>
      </c>
      <c r="F4" s="13" t="s">
        <v>137</v>
      </c>
      <c r="G4" s="13" t="s">
        <v>138</v>
      </c>
      <c r="H4" s="13" t="s">
        <v>139</v>
      </c>
      <c r="I4" s="13" t="s">
        <v>140</v>
      </c>
      <c r="J4" s="13" t="s">
        <v>141</v>
      </c>
    </row>
    <row r="5" customFormat="false" ht="15" hidden="false" customHeight="false" outlineLevel="0" collapsed="false">
      <c r="A5" s="19" t="s">
        <v>88</v>
      </c>
      <c r="B5" s="19" t="s">
        <v>89</v>
      </c>
      <c r="C5" s="14" t="s">
        <v>90</v>
      </c>
      <c r="D5" s="19" t="s">
        <v>91</v>
      </c>
      <c r="E5" s="42" t="n">
        <v>7.3</v>
      </c>
      <c r="F5" s="43" t="n">
        <v>2.7</v>
      </c>
      <c r="G5" s="44" t="s">
        <v>142</v>
      </c>
      <c r="H5" s="44" t="s">
        <v>142</v>
      </c>
      <c r="I5" s="18" t="n">
        <v>250000000</v>
      </c>
      <c r="J5" s="45" t="s">
        <v>143</v>
      </c>
    </row>
    <row r="6" customFormat="false" ht="15" hidden="false" customHeight="false" outlineLevel="0" collapsed="false">
      <c r="A6" s="19" t="s">
        <v>88</v>
      </c>
      <c r="B6" s="19" t="s">
        <v>94</v>
      </c>
      <c r="C6" s="14" t="s">
        <v>95</v>
      </c>
      <c r="D6" s="19" t="s">
        <v>96</v>
      </c>
      <c r="E6" s="42" t="n">
        <v>11.1</v>
      </c>
      <c r="F6" s="46" t="n">
        <v>0</v>
      </c>
      <c r="G6" s="47" t="s">
        <v>144</v>
      </c>
      <c r="H6" s="35" t="s">
        <v>144</v>
      </c>
      <c r="I6" s="18" t="n">
        <v>30000000</v>
      </c>
      <c r="J6" s="45" t="s">
        <v>145</v>
      </c>
    </row>
    <row r="7" customFormat="false" ht="15" hidden="false" customHeight="false" outlineLevel="0" collapsed="false">
      <c r="A7" s="19" t="s">
        <v>99</v>
      </c>
      <c r="B7" s="19" t="s">
        <v>100</v>
      </c>
      <c r="C7" s="14" t="s">
        <v>57</v>
      </c>
      <c r="D7" s="19" t="s">
        <v>101</v>
      </c>
      <c r="E7" s="42" t="n">
        <v>3.8</v>
      </c>
      <c r="F7" s="48" t="n">
        <v>6.2</v>
      </c>
      <c r="G7" s="44" t="s">
        <v>142</v>
      </c>
      <c r="H7" s="44" t="s">
        <v>142</v>
      </c>
      <c r="I7" s="18" t="n">
        <v>180000000</v>
      </c>
      <c r="J7" s="45" t="s">
        <v>143</v>
      </c>
    </row>
    <row r="8" customFormat="false" ht="15" hidden="false" customHeight="false" outlineLevel="0" collapsed="false">
      <c r="A8" s="19" t="s">
        <v>99</v>
      </c>
      <c r="B8" s="19" t="s">
        <v>104</v>
      </c>
      <c r="C8" s="14" t="s">
        <v>58</v>
      </c>
      <c r="D8" s="19" t="s">
        <v>105</v>
      </c>
      <c r="E8" s="42" t="n">
        <v>2.7</v>
      </c>
      <c r="F8" s="48" t="n">
        <v>7.3</v>
      </c>
      <c r="G8" s="44" t="s">
        <v>142</v>
      </c>
      <c r="H8" s="44" t="s">
        <v>142</v>
      </c>
      <c r="I8" s="18" t="n">
        <v>220000000</v>
      </c>
      <c r="J8" s="45" t="s">
        <v>143</v>
      </c>
    </row>
    <row r="9" customFormat="false" ht="15" hidden="false" customHeight="false" outlineLevel="0" collapsed="false">
      <c r="A9" s="19" t="s">
        <v>99</v>
      </c>
      <c r="B9" s="19" t="s">
        <v>107</v>
      </c>
      <c r="C9" s="14" t="s">
        <v>59</v>
      </c>
      <c r="D9" s="19" t="s">
        <v>108</v>
      </c>
      <c r="E9" s="42" t="n">
        <v>5.2</v>
      </c>
      <c r="F9" s="43" t="n">
        <v>4.8</v>
      </c>
      <c r="G9" s="47" t="s">
        <v>146</v>
      </c>
      <c r="H9" s="47" t="s">
        <v>146</v>
      </c>
      <c r="I9" s="18" t="n">
        <v>60000000</v>
      </c>
      <c r="J9" s="45" t="s">
        <v>147</v>
      </c>
    </row>
    <row r="10" customFormat="false" ht="15" hidden="false" customHeight="false" outlineLevel="0" collapsed="false">
      <c r="A10" s="19" t="s">
        <v>110</v>
      </c>
      <c r="B10" s="19" t="s">
        <v>111</v>
      </c>
      <c r="C10" s="14" t="s">
        <v>63</v>
      </c>
      <c r="D10" s="19" t="s">
        <v>112</v>
      </c>
      <c r="E10" s="42" t="n">
        <v>6</v>
      </c>
      <c r="F10" s="43" t="n">
        <v>4</v>
      </c>
      <c r="G10" s="44" t="s">
        <v>142</v>
      </c>
      <c r="H10" s="44" t="s">
        <v>142</v>
      </c>
      <c r="I10" s="18" t="n">
        <v>350000000</v>
      </c>
      <c r="J10" s="45" t="s">
        <v>143</v>
      </c>
    </row>
    <row r="11" customFormat="false" ht="15" hidden="false" customHeight="false" outlineLevel="0" collapsed="false">
      <c r="A11" s="19" t="s">
        <v>114</v>
      </c>
      <c r="B11" s="19" t="s">
        <v>115</v>
      </c>
      <c r="C11" s="14" t="s">
        <v>65</v>
      </c>
      <c r="D11" s="19" t="s">
        <v>116</v>
      </c>
      <c r="E11" s="42" t="n">
        <v>2.4</v>
      </c>
      <c r="F11" s="48" t="n">
        <v>7.6</v>
      </c>
      <c r="G11" s="47" t="s">
        <v>144</v>
      </c>
      <c r="H11" s="44" t="s">
        <v>142</v>
      </c>
      <c r="I11" s="18" t="n">
        <v>80000000</v>
      </c>
      <c r="J11" s="45" t="s">
        <v>147</v>
      </c>
    </row>
    <row r="12" customFormat="false" ht="15" hidden="false" customHeight="false" outlineLevel="0" collapsed="false">
      <c r="A12" s="19" t="s">
        <v>114</v>
      </c>
      <c r="B12" s="19" t="s">
        <v>118</v>
      </c>
      <c r="C12" s="14" t="s">
        <v>66</v>
      </c>
      <c r="D12" s="19" t="s">
        <v>119</v>
      </c>
      <c r="E12" s="42" t="n">
        <v>7.7</v>
      </c>
      <c r="F12" s="43" t="n">
        <v>2.3</v>
      </c>
      <c r="G12" s="47" t="s">
        <v>146</v>
      </c>
      <c r="H12" s="47" t="s">
        <v>146</v>
      </c>
      <c r="I12" s="18" t="n">
        <v>130000000</v>
      </c>
      <c r="J12" s="45" t="s">
        <v>147</v>
      </c>
    </row>
    <row r="13" customFormat="false" ht="15" hidden="false" customHeight="false" outlineLevel="0" collapsed="false">
      <c r="A13" s="19" t="s">
        <v>121</v>
      </c>
      <c r="B13" s="19" t="s">
        <v>122</v>
      </c>
      <c r="C13" s="14" t="s">
        <v>65</v>
      </c>
      <c r="D13" s="19" t="s">
        <v>123</v>
      </c>
      <c r="E13" s="42" t="n">
        <v>10.3</v>
      </c>
      <c r="F13" s="46" t="n">
        <v>0</v>
      </c>
      <c r="G13" s="47" t="s">
        <v>144</v>
      </c>
      <c r="H13" s="35" t="s">
        <v>144</v>
      </c>
      <c r="I13" s="18" t="n">
        <v>60000000</v>
      </c>
      <c r="J13" s="45" t="s">
        <v>145</v>
      </c>
    </row>
    <row r="14" customFormat="false" ht="15" hidden="false" customHeight="false" outlineLevel="0" collapsed="false">
      <c r="A14" s="19" t="s">
        <v>124</v>
      </c>
      <c r="B14" s="19" t="s">
        <v>125</v>
      </c>
      <c r="C14" s="14" t="s">
        <v>69</v>
      </c>
      <c r="D14" s="19" t="s">
        <v>126</v>
      </c>
      <c r="E14" s="42" t="n">
        <v>4.8</v>
      </c>
      <c r="F14" s="48" t="n">
        <v>5.2</v>
      </c>
      <c r="G14" s="47" t="s">
        <v>146</v>
      </c>
      <c r="H14" s="44" t="s">
        <v>142</v>
      </c>
      <c r="I14" s="18" t="n">
        <v>100000000</v>
      </c>
      <c r="J14" s="45" t="s">
        <v>147</v>
      </c>
    </row>
    <row r="15" customFormat="false" ht="15" hidden="false" customHeight="false" outlineLevel="0" collapsed="false">
      <c r="A15" s="19" t="s">
        <v>124</v>
      </c>
      <c r="B15" s="19" t="s">
        <v>127</v>
      </c>
      <c r="C15" s="14" t="s">
        <v>69</v>
      </c>
      <c r="D15" s="19" t="s">
        <v>128</v>
      </c>
      <c r="E15" s="42" t="n">
        <v>9.2</v>
      </c>
      <c r="F15" s="46" t="n">
        <v>0.8</v>
      </c>
      <c r="G15" s="47" t="s">
        <v>146</v>
      </c>
      <c r="H15" s="35" t="s">
        <v>144</v>
      </c>
      <c r="I15" s="18" t="n">
        <v>50000000</v>
      </c>
      <c r="J15" s="45" t="s">
        <v>145</v>
      </c>
    </row>
    <row r="16" customFormat="false" ht="15" hidden="false" customHeight="false" outlineLevel="0" collapsed="false">
      <c r="A16" s="38" t="s">
        <v>44</v>
      </c>
      <c r="B16" s="24"/>
      <c r="C16" s="24"/>
      <c r="D16" s="24"/>
      <c r="E16" s="24"/>
      <c r="F16" s="24"/>
      <c r="G16" s="24"/>
      <c r="H16" s="24"/>
      <c r="I16" s="49" t="n">
        <f aca="false">SUM(I5:I15)</f>
        <v>1510000000</v>
      </c>
      <c r="J16" s="50" t="s">
        <v>148</v>
      </c>
    </row>
    <row r="18" customFormat="false" ht="15" hidden="false" customHeight="false" outlineLevel="0" collapsed="false">
      <c r="A18" s="30" t="s">
        <v>149</v>
      </c>
    </row>
    <row r="19" customFormat="false" ht="15" hidden="false" customHeight="false" outlineLevel="0" collapsed="false">
      <c r="A19" s="30" t="s">
        <v>150</v>
      </c>
    </row>
    <row r="20" customFormat="false" ht="15" hidden="false" customHeight="false" outlineLevel="0" collapsed="false">
      <c r="A20" s="29" t="s">
        <v>151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4"/>
    <col collapsed="false" customWidth="true" hidden="false" outlineLevel="0" max="3" min="3" style="0" width="12"/>
    <col collapsed="false" customWidth="true" hidden="false" outlineLevel="0" max="5" min="4" style="0" width="18"/>
    <col collapsed="false" customWidth="true" hidden="false" outlineLevel="0" max="6" min="6" style="0" width="30"/>
  </cols>
  <sheetData>
    <row r="1" customFormat="false" ht="17.35" hidden="false" customHeight="false" outlineLevel="0" collapsed="false">
      <c r="A1" s="1" t="s">
        <v>152</v>
      </c>
    </row>
    <row r="2" customFormat="false" ht="15" hidden="false" customHeight="false" outlineLevel="0" collapsed="false">
      <c r="A2" s="12" t="s">
        <v>153</v>
      </c>
    </row>
    <row r="4" customFormat="false" ht="30" hidden="false" customHeight="true" outlineLevel="0" collapsed="false">
      <c r="A4" s="13" t="s">
        <v>154</v>
      </c>
      <c r="B4" s="13" t="s">
        <v>155</v>
      </c>
      <c r="C4" s="13" t="s">
        <v>156</v>
      </c>
      <c r="D4" s="13" t="s">
        <v>157</v>
      </c>
      <c r="E4" s="13" t="s">
        <v>158</v>
      </c>
      <c r="F4" s="13" t="s">
        <v>159</v>
      </c>
    </row>
    <row r="5" customFormat="false" ht="15" hidden="false" customHeight="false" outlineLevel="0" collapsed="false">
      <c r="A5" s="14" t="s">
        <v>160</v>
      </c>
      <c r="B5" s="19" t="s">
        <v>161</v>
      </c>
      <c r="C5" s="19" t="s">
        <v>162</v>
      </c>
      <c r="D5" s="18" t="n">
        <v>15000000000</v>
      </c>
      <c r="E5" s="18" t="n">
        <v>142327144</v>
      </c>
      <c r="F5" s="14" t="s">
        <v>163</v>
      </c>
    </row>
    <row r="6" customFormat="false" ht="15" hidden="false" customHeight="false" outlineLevel="0" collapsed="false">
      <c r="A6" s="14" t="s">
        <v>164</v>
      </c>
      <c r="B6" s="19" t="s">
        <v>161</v>
      </c>
      <c r="C6" s="19" t="s">
        <v>165</v>
      </c>
      <c r="D6" s="18" t="n">
        <v>30000000000</v>
      </c>
      <c r="E6" s="18" t="n">
        <v>209846707</v>
      </c>
      <c r="F6" s="14" t="s">
        <v>166</v>
      </c>
    </row>
    <row r="7" customFormat="false" ht="15" hidden="false" customHeight="false" outlineLevel="0" collapsed="false">
      <c r="A7" s="14" t="s">
        <v>167</v>
      </c>
      <c r="B7" s="19" t="s">
        <v>161</v>
      </c>
      <c r="C7" s="19" t="s">
        <v>168</v>
      </c>
      <c r="D7" s="18" t="n">
        <v>10500000000</v>
      </c>
      <c r="E7" s="18" t="n">
        <v>136656472</v>
      </c>
      <c r="F7" s="51" t="s">
        <v>169</v>
      </c>
    </row>
    <row r="8" customFormat="false" ht="15" hidden="false" customHeight="false" outlineLevel="0" collapsed="false">
      <c r="A8" s="14" t="s">
        <v>170</v>
      </c>
      <c r="B8" s="19" t="s">
        <v>161</v>
      </c>
      <c r="C8" s="19" t="s">
        <v>162</v>
      </c>
      <c r="D8" s="18" t="n">
        <v>6700000000</v>
      </c>
      <c r="E8" s="18" t="n">
        <v>164920032</v>
      </c>
      <c r="F8" s="51" t="s">
        <v>171</v>
      </c>
    </row>
    <row r="9" customFormat="false" ht="15" hidden="false" customHeight="false" outlineLevel="0" collapsed="false">
      <c r="A9" s="52" t="s">
        <v>172</v>
      </c>
      <c r="B9" s="53" t="s">
        <v>173</v>
      </c>
      <c r="C9" s="53" t="s">
        <v>40</v>
      </c>
      <c r="D9" s="49" t="n">
        <v>24226800000</v>
      </c>
      <c r="E9" s="49" t="n">
        <f aca="false">D9/186.36</f>
        <v>130000000</v>
      </c>
      <c r="F9" s="54" t="s">
        <v>174</v>
      </c>
    </row>
    <row r="11" customFormat="false" ht="15" hidden="false" customHeight="false" outlineLevel="0" collapsed="false">
      <c r="A11" s="55" t="s">
        <v>175</v>
      </c>
    </row>
    <row r="12" customFormat="false" ht="15" hidden="false" customHeight="false" outlineLevel="0" collapsed="false">
      <c r="A12" s="55" t="s">
        <v>176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5"/>
    <col collapsed="false" customWidth="true" hidden="false" outlineLevel="0" max="3" min="3" style="0" width="26"/>
    <col collapsed="false" customWidth="true" hidden="false" outlineLevel="0" max="5" min="4" style="0" width="17"/>
    <col collapsed="false" customWidth="true" hidden="false" outlineLevel="0" max="6" min="6" style="0" width="18"/>
    <col collapsed="false" customWidth="true" hidden="false" outlineLevel="0" max="7" min="7" style="0" width="16"/>
  </cols>
  <sheetData>
    <row r="1" customFormat="false" ht="21.6" hidden="false" customHeight="false" outlineLevel="0" collapsed="false">
      <c r="A1" s="1" t="s">
        <v>177</v>
      </c>
    </row>
    <row r="2" customFormat="false" ht="15" hidden="false" customHeight="false" outlineLevel="0" collapsed="false">
      <c r="A2" s="12" t="s">
        <v>178</v>
      </c>
    </row>
    <row r="4" customFormat="false" ht="30" hidden="false" customHeight="true" outlineLevel="0" collapsed="false">
      <c r="A4" s="13" t="s">
        <v>49</v>
      </c>
      <c r="B4" s="13" t="s">
        <v>179</v>
      </c>
      <c r="C4" s="13" t="s">
        <v>180</v>
      </c>
      <c r="D4" s="13" t="s">
        <v>181</v>
      </c>
      <c r="E4" s="13" t="s">
        <v>80</v>
      </c>
      <c r="F4" s="13" t="s">
        <v>79</v>
      </c>
      <c r="G4" s="13" t="s">
        <v>81</v>
      </c>
    </row>
    <row r="5" customFormat="false" ht="15" hidden="false" customHeight="false" outlineLevel="0" collapsed="false">
      <c r="A5" s="19" t="s">
        <v>88</v>
      </c>
      <c r="B5" s="31" t="n">
        <v>150</v>
      </c>
      <c r="C5" s="14" t="s">
        <v>182</v>
      </c>
      <c r="D5" s="18" t="n">
        <v>60000</v>
      </c>
      <c r="E5" s="34" t="n">
        <f aca="false">ROUND(B5*D5,0)</f>
        <v>9000000</v>
      </c>
      <c r="F5" s="34" t="n">
        <f aca="false">E5*$B$16</f>
        <v>108000000</v>
      </c>
      <c r="G5" s="34" t="n">
        <f aca="false">ROUND(B5*$B$17,0)</f>
        <v>2250000</v>
      </c>
    </row>
    <row r="6" customFormat="false" ht="15" hidden="false" customHeight="false" outlineLevel="0" collapsed="false">
      <c r="A6" s="19" t="s">
        <v>99</v>
      </c>
      <c r="B6" s="31" t="n">
        <v>70</v>
      </c>
      <c r="C6" s="14" t="s">
        <v>183</v>
      </c>
      <c r="D6" s="18" t="n">
        <v>220000</v>
      </c>
      <c r="E6" s="34" t="n">
        <f aca="false">ROUND(B6*D6,0)</f>
        <v>15400000</v>
      </c>
      <c r="F6" s="34" t="n">
        <f aca="false">E6*$B$16</f>
        <v>184800000</v>
      </c>
      <c r="G6" s="34" t="n">
        <f aca="false">ROUND(B6*$B$17,0)</f>
        <v>1050000</v>
      </c>
    </row>
    <row r="7" customFormat="false" ht="15" hidden="false" customHeight="false" outlineLevel="0" collapsed="false">
      <c r="A7" s="19" t="s">
        <v>110</v>
      </c>
      <c r="B7" s="31" t="n">
        <v>94.67</v>
      </c>
      <c r="C7" s="14" t="s">
        <v>184</v>
      </c>
      <c r="D7" s="18" t="n">
        <v>200000</v>
      </c>
      <c r="E7" s="34" t="n">
        <f aca="false">ROUND(B7*D7,0)</f>
        <v>18934000</v>
      </c>
      <c r="F7" s="34" t="n">
        <f aca="false">E7*$B$16</f>
        <v>227208000</v>
      </c>
      <c r="G7" s="34" t="n">
        <f aca="false">ROUND(B7*$B$17,0)</f>
        <v>1420050</v>
      </c>
    </row>
    <row r="8" customFormat="false" ht="15" hidden="false" customHeight="false" outlineLevel="0" collapsed="false">
      <c r="A8" s="19" t="s">
        <v>114</v>
      </c>
      <c r="B8" s="31" t="n">
        <v>94.67</v>
      </c>
      <c r="C8" s="14" t="s">
        <v>185</v>
      </c>
      <c r="D8" s="18" t="n">
        <v>180000</v>
      </c>
      <c r="E8" s="34" t="n">
        <f aca="false">ROUND(B8*D8,0)</f>
        <v>17040600</v>
      </c>
      <c r="F8" s="34" t="n">
        <f aca="false">E8*$B$16</f>
        <v>204487200</v>
      </c>
      <c r="G8" s="34" t="n">
        <f aca="false">ROUND(B8*$B$17,0)</f>
        <v>1420050</v>
      </c>
    </row>
    <row r="9" customFormat="false" ht="15" hidden="false" customHeight="false" outlineLevel="0" collapsed="false">
      <c r="A9" s="19" t="s">
        <v>121</v>
      </c>
      <c r="B9" s="31" t="n">
        <v>94.67</v>
      </c>
      <c r="C9" s="14" t="s">
        <v>185</v>
      </c>
      <c r="D9" s="18" t="n">
        <v>180000</v>
      </c>
      <c r="E9" s="34" t="n">
        <f aca="false">ROUND(B9*D9,0)</f>
        <v>17040600</v>
      </c>
      <c r="F9" s="34" t="n">
        <f aca="false">E9*$B$16</f>
        <v>204487200</v>
      </c>
      <c r="G9" s="34" t="n">
        <f aca="false">ROUND(B9*$B$17,0)</f>
        <v>1420050</v>
      </c>
    </row>
    <row r="10" customFormat="false" ht="15" hidden="false" customHeight="false" outlineLevel="0" collapsed="false">
      <c r="A10" s="19" t="s">
        <v>124</v>
      </c>
      <c r="B10" s="31" t="n">
        <v>60</v>
      </c>
      <c r="C10" s="14" t="s">
        <v>185</v>
      </c>
      <c r="D10" s="18" t="n">
        <v>180000</v>
      </c>
      <c r="E10" s="34" t="n">
        <f aca="false">ROUND(B10*D10,0)</f>
        <v>10800000</v>
      </c>
      <c r="F10" s="34" t="n">
        <f aca="false">E10*$B$16</f>
        <v>129600000</v>
      </c>
      <c r="G10" s="34" t="n">
        <f aca="false">ROUND(B10*$B$17,0)</f>
        <v>900000</v>
      </c>
    </row>
    <row r="11" customFormat="false" ht="15" hidden="false" customHeight="false" outlineLevel="0" collapsed="false">
      <c r="A11" s="19" t="s">
        <v>186</v>
      </c>
      <c r="B11" s="31" t="n">
        <v>50</v>
      </c>
      <c r="C11" s="14" t="s">
        <v>185</v>
      </c>
      <c r="D11" s="18" t="n">
        <v>180000</v>
      </c>
      <c r="E11" s="34" t="n">
        <f aca="false">ROUND(B11*D11,0)</f>
        <v>9000000</v>
      </c>
      <c r="F11" s="34" t="n">
        <f aca="false">E11*$B$16</f>
        <v>108000000</v>
      </c>
      <c r="G11" s="34" t="n">
        <f aca="false">ROUND(B11*$B$17,0)</f>
        <v>750000</v>
      </c>
    </row>
    <row r="12" customFormat="false" ht="15" hidden="false" customHeight="false" outlineLevel="0" collapsed="false">
      <c r="A12" s="38" t="s">
        <v>44</v>
      </c>
      <c r="B12" s="26" t="n">
        <f aca="false">SUM(B5:B11)</f>
        <v>614.01</v>
      </c>
      <c r="C12" s="24"/>
      <c r="D12" s="24"/>
      <c r="E12" s="40" t="n">
        <f aca="false">SUM(E5:E11)</f>
        <v>97215200</v>
      </c>
      <c r="F12" s="40" t="n">
        <f aca="false">SUM(F5:F11)</f>
        <v>1166582400</v>
      </c>
      <c r="G12" s="40" t="n">
        <f aca="false">SUM(G5:G11)</f>
        <v>9210150</v>
      </c>
    </row>
    <row r="15" customFormat="false" ht="15" hidden="false" customHeight="false" outlineLevel="0" collapsed="false">
      <c r="A15" s="3" t="s">
        <v>187</v>
      </c>
    </row>
    <row r="16" customFormat="false" ht="15" hidden="false" customHeight="false" outlineLevel="0" collapsed="false">
      <c r="A16" s="5" t="s">
        <v>188</v>
      </c>
      <c r="B16" s="56" t="n">
        <v>12</v>
      </c>
    </row>
    <row r="17" customFormat="false" ht="15" hidden="false" customHeight="false" outlineLevel="0" collapsed="false">
      <c r="A17" s="5" t="s">
        <v>189</v>
      </c>
      <c r="B17" s="41" t="n">
        <v>15000</v>
      </c>
    </row>
    <row r="19" customFormat="false" ht="15" hidden="false" customHeight="false" outlineLevel="0" collapsed="false">
      <c r="A19" s="57" t="s">
        <v>190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20"/>
    <col collapsed="false" customWidth="true" hidden="false" outlineLevel="0" max="3" min="3" style="0" width="52"/>
  </cols>
  <sheetData>
    <row r="1" customFormat="false" ht="17.35" hidden="false" customHeight="false" outlineLevel="0" collapsed="false">
      <c r="A1" s="1" t="s">
        <v>191</v>
      </c>
    </row>
    <row r="2" customFormat="false" ht="15" hidden="false" customHeight="false" outlineLevel="0" collapsed="false">
      <c r="A2" s="12" t="s">
        <v>192</v>
      </c>
    </row>
    <row r="4" customFormat="false" ht="30" hidden="false" customHeight="true" outlineLevel="0" collapsed="false">
      <c r="A4" s="13" t="s">
        <v>193</v>
      </c>
      <c r="B4" s="13" t="s">
        <v>194</v>
      </c>
      <c r="C4" s="13" t="s">
        <v>195</v>
      </c>
    </row>
    <row r="5" customFormat="false" ht="15" hidden="false" customHeight="false" outlineLevel="0" collapsed="false">
      <c r="A5" s="58" t="s">
        <v>196</v>
      </c>
      <c r="B5" s="59" t="n">
        <v>24226800000</v>
      </c>
      <c r="C5" s="45" t="s">
        <v>197</v>
      </c>
    </row>
    <row r="6" customFormat="false" ht="15" hidden="false" customHeight="false" outlineLevel="0" collapsed="false">
      <c r="A6" s="45" t="s">
        <v>198</v>
      </c>
      <c r="B6" s="60" t="n">
        <f aca="false">ROUND(B5*0.046,0)</f>
        <v>1114432800</v>
      </c>
      <c r="C6" s="45" t="s">
        <v>199</v>
      </c>
    </row>
    <row r="7" customFormat="false" ht="15" hidden="false" customHeight="false" outlineLevel="0" collapsed="false">
      <c r="A7" s="45" t="s">
        <v>200</v>
      </c>
      <c r="B7" s="60" t="n">
        <f aca="false">ROUND(B5*0.009,0)</f>
        <v>218041200</v>
      </c>
      <c r="C7" s="45" t="s">
        <v>201</v>
      </c>
    </row>
    <row r="8" customFormat="false" ht="15" hidden="false" customHeight="false" outlineLevel="0" collapsed="false">
      <c r="A8" s="45" t="s">
        <v>202</v>
      </c>
      <c r="B8" s="59" t="n">
        <v>30000000</v>
      </c>
      <c r="C8" s="45" t="s">
        <v>203</v>
      </c>
    </row>
    <row r="9" customFormat="false" ht="15" hidden="false" customHeight="false" outlineLevel="0" collapsed="false">
      <c r="A9" s="45" t="s">
        <v>204</v>
      </c>
      <c r="B9" s="59" t="n">
        <v>20000000</v>
      </c>
      <c r="C9" s="45" t="s">
        <v>203</v>
      </c>
    </row>
    <row r="10" customFormat="false" ht="15" hidden="false" customHeight="false" outlineLevel="0" collapsed="false">
      <c r="A10" s="52" t="s">
        <v>205</v>
      </c>
      <c r="B10" s="61" t="n">
        <f aca="false">SUM(B5:B9)</f>
        <v>25609274000</v>
      </c>
      <c r="C10" s="54" t="s">
        <v>206</v>
      </c>
    </row>
    <row r="11" customFormat="false" ht="15" hidden="false" customHeight="false" outlineLevel="0" collapsed="false">
      <c r="A11" s="58" t="s">
        <v>207</v>
      </c>
      <c r="B11" s="59" t="n">
        <v>7368360000</v>
      </c>
      <c r="C11" s="45" t="s">
        <v>208</v>
      </c>
    </row>
    <row r="12" customFormat="false" ht="15" hidden="false" customHeight="false" outlineLevel="0" collapsed="false">
      <c r="A12" s="58" t="s">
        <v>209</v>
      </c>
      <c r="B12" s="59" t="n">
        <v>500000000</v>
      </c>
      <c r="C12" s="62" t="s">
        <v>210</v>
      </c>
    </row>
    <row r="13" customFormat="false" ht="15" hidden="false" customHeight="false" outlineLevel="0" collapsed="false">
      <c r="A13" s="23" t="s">
        <v>211</v>
      </c>
      <c r="B13" s="63" t="n">
        <f aca="false">B10+B11+B12</f>
        <v>33477634000</v>
      </c>
      <c r="C13" s="64" t="s">
        <v>212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0" width="14"/>
    <col collapsed="false" customWidth="true" hidden="false" outlineLevel="0" max="3" min="3" style="0" width="60"/>
  </cols>
  <sheetData>
    <row r="1" customFormat="false" ht="17.35" hidden="false" customHeight="false" outlineLevel="0" collapsed="false">
      <c r="A1" s="1" t="s">
        <v>213</v>
      </c>
    </row>
    <row r="2" customFormat="false" ht="15" hidden="false" customHeight="false" outlineLevel="0" collapsed="false">
      <c r="A2" s="12" t="s">
        <v>214</v>
      </c>
    </row>
    <row r="4" customFormat="false" ht="30" hidden="false" customHeight="true" outlineLevel="0" collapsed="false">
      <c r="A4" s="13" t="s">
        <v>215</v>
      </c>
      <c r="B4" s="13" t="s">
        <v>216</v>
      </c>
    </row>
    <row r="5" customFormat="false" ht="15" hidden="false" customHeight="false" outlineLevel="0" collapsed="false">
      <c r="A5" s="19" t="s">
        <v>217</v>
      </c>
      <c r="B5" s="65" t="n">
        <v>0.041</v>
      </c>
    </row>
    <row r="6" customFormat="false" ht="15" hidden="false" customHeight="false" outlineLevel="0" collapsed="false">
      <c r="A6" s="19" t="s">
        <v>218</v>
      </c>
      <c r="B6" s="65" t="n">
        <v>-0.008</v>
      </c>
    </row>
    <row r="7" customFormat="false" ht="15" hidden="false" customHeight="false" outlineLevel="0" collapsed="false">
      <c r="A7" s="19" t="s">
        <v>219</v>
      </c>
      <c r="B7" s="65" t="n">
        <v>0.023</v>
      </c>
    </row>
    <row r="8" customFormat="false" ht="15" hidden="false" customHeight="false" outlineLevel="0" collapsed="false">
      <c r="A8" s="19" t="s">
        <v>220</v>
      </c>
      <c r="B8" s="65" t="n">
        <v>0.035</v>
      </c>
    </row>
    <row r="9" customFormat="false" ht="15" hidden="false" customHeight="false" outlineLevel="0" collapsed="false">
      <c r="A9" s="19" t="s">
        <v>221</v>
      </c>
      <c r="B9" s="65" t="n">
        <v>0.028</v>
      </c>
    </row>
    <row r="10" customFormat="false" ht="15" hidden="false" customHeight="false" outlineLevel="0" collapsed="false">
      <c r="A10" s="66" t="s">
        <v>222</v>
      </c>
      <c r="B10" s="67" t="n">
        <f aca="false">AVERAGE(B7:B9)</f>
        <v>0.0286666666666667</v>
      </c>
    </row>
    <row r="12" customFormat="false" ht="15" hidden="false" customHeight="false" outlineLevel="0" collapsed="false">
      <c r="A12" s="3" t="s">
        <v>223</v>
      </c>
    </row>
    <row r="13" customFormat="false" ht="30" hidden="false" customHeight="true" outlineLevel="0" collapsed="false">
      <c r="A13" s="13" t="s">
        <v>193</v>
      </c>
      <c r="B13" s="13" t="s">
        <v>224</v>
      </c>
      <c r="C13" s="13" t="s">
        <v>195</v>
      </c>
    </row>
    <row r="14" customFormat="false" ht="15" hidden="false" customHeight="false" outlineLevel="0" collapsed="false">
      <c r="A14" s="47" t="s">
        <v>225</v>
      </c>
      <c r="B14" s="65" t="n">
        <v>-0.02</v>
      </c>
      <c r="C14" s="62" t="s">
        <v>226</v>
      </c>
    </row>
    <row r="15" customFormat="false" ht="15" hidden="false" customHeight="false" outlineLevel="0" collapsed="false">
      <c r="A15" s="47" t="s">
        <v>227</v>
      </c>
      <c r="B15" s="65" t="n">
        <v>0</v>
      </c>
      <c r="C15" s="45" t="s">
        <v>228</v>
      </c>
    </row>
    <row r="16" customFormat="false" ht="15" hidden="false" customHeight="false" outlineLevel="0" collapsed="false">
      <c r="A16" s="68" t="s">
        <v>229</v>
      </c>
      <c r="B16" s="69" t="n">
        <f aca="false">B10</f>
        <v>0.0286666666666667</v>
      </c>
      <c r="C16" s="54" t="s">
        <v>230</v>
      </c>
    </row>
    <row r="17" customFormat="false" ht="15" hidden="false" customHeight="false" outlineLevel="0" collapsed="false">
      <c r="A17" s="47" t="s">
        <v>231</v>
      </c>
      <c r="B17" s="65" t="n">
        <v>0.045</v>
      </c>
      <c r="C17" s="62" t="s">
        <v>232</v>
      </c>
    </row>
    <row r="19" customFormat="false" ht="15" hidden="false" customHeight="false" outlineLevel="0" collapsed="false">
      <c r="A19" s="29" t="s">
        <v>233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2026-08-03T03:40:05Z</dcterms:created>
  <dc:creator>openpyxl</dc:creator>
  <dc:description/>
  <dc:language>en-US</dc:language>
  <cp:lastModifiedBy/>
  <dcterms:modified xsi:type="dcterms:W3CDTF">2026-08-03T03:40:05Z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