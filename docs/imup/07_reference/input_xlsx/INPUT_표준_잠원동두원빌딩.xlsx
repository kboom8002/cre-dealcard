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안내" sheetId="1" state="visible" r:id="rId3"/>
    <sheet name="01_필지" sheetId="2" state="visible" r:id="rId4"/>
    <sheet name="02_층별현황" sheetId="3" state="visible" r:id="rId5"/>
    <sheet name="03_비교사례" sheetId="4" state="visible" r:id="rId6"/>
    <sheet name="04_스태킹플랜" sheetId="5" state="visible" r:id="rId7"/>
    <sheet name="05_투입비용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<sst xmlns="http://schemas.openxmlformats.org/spreadsheetml/2006/main" count="169" uniqueCount="120">
  <si>
    <t xml:space="preserve">입력 안내</t>
  </si>
  <si>
    <r>
      <rPr>
        <sz val="9.5"/>
        <color rgb="FF7A8794"/>
        <rFont val="Arial"/>
        <family val="0"/>
        <charset val="1"/>
      </rPr>
      <t xml:space="preserve">CREDEAL IM Studio — </t>
    </r>
    <r>
      <rPr>
        <sz val="9.5"/>
        <color rgb="FF7A8794"/>
        <rFont val="Noto Sans CJK SC"/>
        <family val="2"/>
      </rPr>
      <t xml:space="preserve">이 워크북을 그대로 업로드하십시오</t>
    </r>
  </si>
  <si>
    <t xml:space="preserve">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</si>
  <si>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Arial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중개인이 입력하는 값</t>
    </r>
  </si>
  <si>
    <r>
      <rPr>
        <sz val="10"/>
        <rFont val="Noto Sans CJK SC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수정하지 마십시오</t>
    </r>
    <r>
      <rPr>
        <sz val="10"/>
        <rFont val="Arial"/>
        <family val="0"/>
        <charset val="1"/>
      </rPr>
      <t xml:space="preserve">)</t>
    </r>
  </si>
  <si>
    <r>
      <rPr>
        <sz val="10"/>
        <color rgb="FF008000"/>
        <rFont val="Noto Sans CJK SC"/>
        <family val="2"/>
      </rPr>
      <t xml:space="preserve">초록 글씨 </t>
    </r>
    <r>
      <rPr>
        <sz val="10"/>
        <color rgb="FF008000"/>
        <rFont val="Arial"/>
        <family val="0"/>
        <charset val="1"/>
      </rPr>
      <t xml:space="preserve">= </t>
    </r>
    <r>
      <rPr>
        <sz val="10"/>
        <color rgb="FF008000"/>
        <rFont val="Noto Sans CJK SC"/>
        <family val="2"/>
      </rPr>
      <t xml:space="preserve">다른 시트 참조</t>
    </r>
  </si>
  <si>
    <r>
      <rPr>
        <sz val="10"/>
        <rFont val="Noto Sans CJK SC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반드시 채워야 하는 필수 항목</t>
    </r>
  </si>
  <si>
    <t xml:space="preserve">시트 구성</t>
  </si>
  <si>
    <r>
      <rPr>
        <b val="true"/>
        <sz val="10"/>
        <rFont val="Arial"/>
        <family val="0"/>
        <charset val="1"/>
      </rPr>
      <t xml:space="preserve">01_</t>
    </r>
    <r>
      <rPr>
        <b val="true"/>
        <sz val="10"/>
        <rFont val="Noto Sans CJK SC"/>
        <family val="2"/>
      </rPr>
      <t xml:space="preserve">필지</t>
    </r>
  </si>
  <si>
    <r>
      <rPr>
        <sz val="10"/>
        <rFont val="Noto Sans CJK SC"/>
        <family val="2"/>
      </rPr>
      <t xml:space="preserve">토지대장 — 지번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면적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공시지가</t>
    </r>
  </si>
  <si>
    <r>
      <rPr>
        <b val="true"/>
        <sz val="10"/>
        <rFont val="Arial"/>
        <family val="0"/>
        <charset val="1"/>
      </rPr>
      <t xml:space="preserve">02_</t>
    </r>
    <r>
      <rPr>
        <b val="true"/>
        <sz val="10"/>
        <rFont val="Noto Sans CJK SC"/>
        <family val="2"/>
      </rPr>
      <t xml:space="preserve">층별현황</t>
    </r>
  </si>
  <si>
    <r>
      <rPr>
        <sz val="10"/>
        <rFont val="Noto Sans CJK SC"/>
        <family val="2"/>
      </rPr>
      <t xml:space="preserve">건축물대장 — 층별 용도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면적</t>
    </r>
  </si>
  <si>
    <r>
      <rPr>
        <b val="true"/>
        <sz val="10"/>
        <color rgb="FF1F3A5F"/>
        <rFont val="Noto Sans CJK SC"/>
        <family val="2"/>
      </rPr>
      <t xml:space="preserve">표준 모드 — 첨부 </t>
    </r>
    <r>
      <rPr>
        <b val="true"/>
        <sz val="10"/>
        <color rgb="FF1F3A5F"/>
        <rFont val="Arial"/>
        <family val="0"/>
        <charset val="1"/>
      </rPr>
      <t xml:space="preserve">IM</t>
    </r>
    <r>
      <rPr>
        <b val="true"/>
        <sz val="10"/>
        <color rgb="FF1F3A5F"/>
        <rFont val="Noto Sans CJK SC"/>
        <family val="2"/>
      </rPr>
      <t xml:space="preserve">에서 확인 가능한 정보만으로 구성했습니다</t>
    </r>
    <r>
      <rPr>
        <b val="true"/>
        <sz val="10"/>
        <color rgb="FF1F3A5F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</si>
  <si>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반경 </t>
    </r>
    <r>
      <rPr>
        <sz val="10"/>
        <rFont val="Arial"/>
        <family val="0"/>
        <charset val="1"/>
      </rPr>
      <t xml:space="preserve">150m </t>
    </r>
    <r>
      <rPr>
        <sz val="10"/>
        <rFont val="Noto Sans CJK SC"/>
        <family val="2"/>
      </rPr>
      <t xml:space="preserve">실거래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권역 시세 밴드</t>
    </r>
  </si>
  <si>
    <r>
      <rPr>
        <sz val="10"/>
        <color rgb="FF7A8794"/>
        <rFont val="Noto Sans CJK SC"/>
        <family val="2"/>
      </rPr>
      <t xml:space="preserve">현재 임대차는 매도인 명도 조건이므로 </t>
    </r>
    <r>
      <rPr>
        <sz val="10"/>
        <color rgb="FF7A8794"/>
        <rFont val="Arial"/>
        <family val="0"/>
        <charset val="1"/>
      </rPr>
      <t xml:space="preserve">not_applicable </t>
    </r>
    <r>
      <rPr>
        <sz val="10"/>
        <color rgb="FF7A8794"/>
        <rFont val="Noto Sans CJK SC"/>
        <family val="2"/>
      </rPr>
      <t xml:space="preserve">처리됩니다</t>
    </r>
    <r>
      <rPr>
        <sz val="10"/>
        <color rgb="FF7A8794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</si>
  <si>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신축 후 층별 임대 계획 </t>
    </r>
    <r>
      <rPr>
        <sz val="10"/>
        <rFont val="Arial"/>
        <family val="0"/>
        <charset val="1"/>
      </rPr>
      <t xml:space="preserve">(2028</t>
    </r>
    <r>
      <rPr>
        <sz val="10"/>
        <rFont val="Noto Sans CJK SC"/>
        <family val="2"/>
      </rPr>
      <t xml:space="preserve">년 상반기 기준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</si>
  <si>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05_</t>
    </r>
    <r>
      <rPr>
        <b val="true"/>
        <sz val="10"/>
        <rFont val="Noto Sans CJK SC"/>
        <family val="2"/>
      </rPr>
      <t xml:space="preserve">투입비용</t>
    </r>
  </si>
  <si>
    <r>
      <rPr>
        <sz val="10"/>
        <rFont val="Noto Sans CJK SC"/>
        <family val="2"/>
      </rPr>
      <t xml:space="preserve">매입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건축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예비비</t>
    </r>
  </si>
  <si>
    <t xml:space="preserve">필지 정보</t>
  </si>
  <si>
    <t xml:space="preserve">토지대장 자동 수집분</t>
  </si>
  <si>
    <t xml:space="preserve">지번</t>
  </si>
  <si>
    <t xml:space="preserve">지목</t>
  </si>
  <si>
    <r>
      <rPr>
        <b val="true"/>
        <sz val="9.5"/>
        <color rgb="FFFFFFFF"/>
        <rFont val="Noto Sans CJK SC"/>
        <family val="2"/>
      </rPr>
      <t xml:space="preserve">대장 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㎡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</si>
  <si>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대장 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</si>
  <si>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공시지가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/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</si>
  <si>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소유 형태</t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</si>
  <si>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26-14</t>
    </r>
  </si>
  <si>
    <t xml:space="preserve">대</t>
  </si>
  <si>
    <t xml:space="preserve">단독 소유</t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</si>
  <si>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26-16</t>
    </r>
  </si>
  <si>
    <t xml:space="preserve">합계</t>
  </si>
  <si>
    <r>
      <rPr>
        <sz val="9"/>
        <color rgb="FF7A8794"/>
        <rFont val="Noto Sans CJK SC"/>
        <family val="2"/>
      </rPr>
      <t xml:space="preserve">※ 공시지가는 </t>
    </r>
    <r>
      <rPr>
        <sz val="9"/>
        <color rgb="FF7A8794"/>
        <rFont val="Arial"/>
        <family val="0"/>
        <charset val="1"/>
      </rPr>
      <t xml:space="preserve">IM </t>
    </r>
    <r>
      <rPr>
        <sz val="9"/>
        <color rgb="FF7A8794"/>
        <rFont val="Noto Sans CJK SC"/>
        <family val="2"/>
      </rPr>
      <t xml:space="preserve">원본 표기</t>
    </r>
    <r>
      <rPr>
        <sz val="9"/>
        <color rgb="FF7A8794"/>
        <rFont val="Arial"/>
        <family val="0"/>
        <charset val="1"/>
      </rPr>
      <t xml:space="preserve">(</t>
    </r>
    <r>
      <rPr>
        <sz val="9"/>
        <color rgb="FF7A8794"/>
        <rFont val="Noto Sans CJK SC"/>
        <family val="2"/>
      </rPr>
      <t xml:space="preserve">원</t>
    </r>
    <r>
      <rPr>
        <sz val="9"/>
        <color rgb="FF7A8794"/>
        <rFont val="Arial"/>
        <family val="0"/>
        <charset val="1"/>
      </rPr>
      <t xml:space="preserve">/</t>
    </r>
    <r>
      <rPr>
        <sz val="9"/>
        <color rgb="FF7A8794"/>
        <rFont val="Noto Sans CJK SC"/>
        <family val="2"/>
      </rPr>
      <t xml:space="preserve">평</t>
    </r>
    <r>
      <rPr>
        <sz val="9"/>
        <color rgb="FF7A8794"/>
        <rFont val="Arial"/>
        <family val="0"/>
        <charset val="1"/>
      </rPr>
      <t xml:space="preserve">) </t>
    </r>
    <r>
      <rPr>
        <sz val="9"/>
        <color rgb="FF7A8794"/>
        <rFont val="Noto Sans CJK SC"/>
        <family val="2"/>
      </rPr>
      <t xml:space="preserve">그대로</t>
    </r>
    <r>
      <rPr>
        <sz val="9"/>
        <color rgb="FF7A8794"/>
        <rFont val="Arial"/>
        <family val="0"/>
        <charset val="1"/>
      </rPr>
      <t xml:space="preserve">. </t>
    </r>
    <r>
      <rPr>
        <sz val="9"/>
        <color rgb="FF7A8794"/>
        <rFont val="Noto Sans CJK SC"/>
        <family val="2"/>
      </rPr>
      <t xml:space="preserve">㎡당 환산은 </t>
    </r>
    <r>
      <rPr>
        <sz val="9"/>
        <color rgb="FF7A8794"/>
        <rFont val="Arial"/>
        <family val="0"/>
        <charset val="1"/>
      </rPr>
      <t xml:space="preserve">÷3.3058.</t>
    </r>
  </si>
  <si>
    <t xml:space="preserve">건축물 층별 현황</t>
  </si>
  <si>
    <t xml:space="preserve">건축물대장 자동 수집분</t>
  </si>
  <si>
    <t xml:space="preserve">층</t>
  </si>
  <si>
    <t xml:space="preserve">공부상 용도</t>
  </si>
  <si>
    <r>
      <rPr>
        <b val="true"/>
        <sz val="9.5"/>
        <color rgb="FFFFFFFF"/>
        <rFont val="Noto Sans CJK SC"/>
        <family val="2"/>
      </rPr>
      <t xml:space="preserve">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</si>
  <si>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㎡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</si>
  <si>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용적률 산정 포함</t>
  </si>
  <si>
    <r>
      <rPr>
        <sz val="10"/>
        <color rgb="FF0000FF"/>
        <rFont val="Noto Sans CJK SC"/>
        <family val="2"/>
      </rPr>
      <t xml:space="preserve">지하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층</t>
    </r>
  </si>
  <si>
    <r>
      <rPr>
        <sz val="10"/>
        <color rgb="FF0000FF"/>
        <rFont val="Noto Sans CJK SC"/>
        <family val="2"/>
      </rPr>
      <t xml:space="preserve">제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종근린생활시설</t>
    </r>
  </si>
  <si>
    <t xml:space="preserve">예</t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</si>
  <si>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층</t>
    </r>
  </si>
  <si>
    <t xml:space="preserve">소매점</t>
  </si>
  <si>
    <t xml:space="preserve">휴게음식점</t>
  </si>
  <si>
    <t xml:space="preserve">부동산중개업소</t>
  </si>
  <si>
    <t xml:space="preserve">주차장</t>
  </si>
  <si>
    <t xml:space="preserve">아니오</t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</si>
  <si>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층</t>
    </r>
  </si>
  <si>
    <t xml:space="preserve">일반음식점</t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</si>
  <si>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층</t>
    </r>
  </si>
  <si>
    <t xml:space="preserve">사무소</t>
  </si>
  <si>
    <t xml:space="preserve">의원</t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</si>
  <si>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층</t>
    </r>
  </si>
  <si>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층</t>
    </r>
  </si>
  <si>
    <t xml:space="preserve">학원</t>
  </si>
  <si>
    <r>
      <rPr>
        <sz val="9"/>
        <color rgb="FF7A8794"/>
        <rFont val="Noto Sans CJK SC"/>
        <family val="2"/>
      </rPr>
      <t xml:space="preserve">※ 연면적 </t>
    </r>
    <r>
      <rPr>
        <sz val="9"/>
        <color rgb="FF7A8794"/>
        <rFont val="Arial"/>
        <family val="0"/>
        <charset val="1"/>
      </rPr>
      <t xml:space="preserve">614.86</t>
    </r>
    <r>
      <rPr>
        <sz val="9"/>
        <color rgb="FF7A8794"/>
        <rFont val="Noto Sans CJK SC"/>
        <family val="2"/>
      </rPr>
      <t xml:space="preserve">평 </t>
    </r>
    <r>
      <rPr>
        <sz val="9"/>
        <color rgb="FF7A8794"/>
        <rFont val="Arial"/>
        <family val="0"/>
        <charset val="1"/>
      </rPr>
      <t xml:space="preserve">· </t>
    </r>
    <r>
      <rPr>
        <sz val="9"/>
        <color rgb="FF7A8794"/>
        <rFont val="Noto Sans CJK SC"/>
        <family val="2"/>
      </rPr>
      <t xml:space="preserve">용적률상 연면적 </t>
    </r>
    <r>
      <rPr>
        <sz val="9"/>
        <color rgb="FF7A8794"/>
        <rFont val="Arial"/>
        <family val="0"/>
        <charset val="1"/>
      </rPr>
      <t xml:space="preserve">606.87</t>
    </r>
    <r>
      <rPr>
        <sz val="9"/>
        <color rgb="FF7A8794"/>
        <rFont val="Noto Sans CJK SC"/>
        <family val="2"/>
      </rPr>
      <t xml:space="preserve">평</t>
    </r>
    <r>
      <rPr>
        <sz val="9"/>
        <color rgb="FF7A8794"/>
        <rFont val="Arial"/>
        <family val="0"/>
        <charset val="1"/>
      </rPr>
      <t xml:space="preserve">(</t>
    </r>
    <r>
      <rPr>
        <sz val="9"/>
        <color rgb="FF7A8794"/>
        <rFont val="Noto Sans CJK SC"/>
        <family val="2"/>
      </rPr>
      <t xml:space="preserve">주차장 </t>
    </r>
    <r>
      <rPr>
        <sz val="9"/>
        <color rgb="FF7A8794"/>
        <rFont val="Arial"/>
        <family val="0"/>
        <charset val="1"/>
      </rPr>
      <t xml:space="preserve">7.99</t>
    </r>
    <r>
      <rPr>
        <sz val="9"/>
        <color rgb="FF7A8794"/>
        <rFont val="Noto Sans CJK SC"/>
        <family val="2"/>
      </rPr>
      <t xml:space="preserve">평 제외</t>
    </r>
    <r>
      <rPr>
        <sz val="9"/>
        <color rgb="FF7A8794"/>
        <rFont val="Arial"/>
        <family val="0"/>
        <charset val="1"/>
      </rPr>
      <t xml:space="preserve">) · </t>
    </r>
    <r>
      <rPr>
        <sz val="9"/>
        <color rgb="FF7A8794"/>
        <rFont val="Noto Sans CJK SC"/>
        <family val="2"/>
      </rPr>
      <t xml:space="preserve">지상층 합 </t>
    </r>
    <r>
      <rPr>
        <sz val="9"/>
        <color rgb="FF7A8794"/>
        <rFont val="Arial"/>
        <family val="0"/>
        <charset val="1"/>
      </rPr>
      <t xml:space="preserve">460.30</t>
    </r>
    <r>
      <rPr>
        <sz val="9"/>
        <color rgb="FF7A8794"/>
        <rFont val="Noto Sans CJK SC"/>
        <family val="2"/>
      </rPr>
      <t xml:space="preserve">평</t>
    </r>
  </si>
  <si>
    <r>
      <rPr>
        <sz val="9"/>
        <color rgb="FF8E6A20"/>
        <rFont val="Arial"/>
        <family val="0"/>
        <charset val="1"/>
      </rPr>
      <t xml:space="preserve">※ IM </t>
    </r>
    <r>
      <rPr>
        <sz val="9"/>
        <color rgb="FF8E6A20"/>
        <rFont val="Noto Sans CJK SC"/>
        <family val="2"/>
      </rPr>
      <t xml:space="preserve">원본의 </t>
    </r>
    <r>
      <rPr>
        <sz val="9"/>
        <color rgb="FF8E6A20"/>
        <rFont val="Arial"/>
        <family val="0"/>
        <charset val="1"/>
      </rPr>
      <t xml:space="preserve">"</t>
    </r>
    <r>
      <rPr>
        <sz val="9"/>
        <color rgb="FF8E6A20"/>
        <rFont val="Noto Sans CJK SC"/>
        <family val="2"/>
      </rPr>
      <t xml:space="preserve">실질 용적률 약 </t>
    </r>
    <r>
      <rPr>
        <sz val="9"/>
        <color rgb="FF8E6A20"/>
        <rFont val="Arial"/>
        <family val="0"/>
        <charset val="1"/>
      </rPr>
      <t xml:space="preserve">247%"</t>
    </r>
    <r>
      <rPr>
        <sz val="9"/>
        <color rgb="FF8E6A20"/>
        <rFont val="Noto Sans CJK SC"/>
        <family val="2"/>
      </rPr>
      <t xml:space="preserve">는 지하층을 제외한 지상 연면적 기준입니다 </t>
    </r>
    <r>
      <rPr>
        <sz val="9"/>
        <color rgb="FF8E6A20"/>
        <rFont val="Arial"/>
        <family val="0"/>
        <charset val="1"/>
      </rPr>
      <t xml:space="preserve">(460.30</t>
    </r>
    <r>
      <rPr>
        <sz val="9"/>
        <color rgb="FF8E6A20"/>
        <rFont val="Noto Sans CJK SC"/>
        <family val="2"/>
      </rPr>
      <t xml:space="preserve">평 </t>
    </r>
    <r>
      <rPr>
        <sz val="9"/>
        <color rgb="FF8E6A20"/>
        <rFont val="Arial"/>
        <family val="0"/>
        <charset val="1"/>
      </rPr>
      <t xml:space="preserve">× 3.3058 ÷ 616.1</t>
    </r>
    <r>
      <rPr>
        <sz val="9"/>
        <color rgb="FF8E6A20"/>
        <rFont val="Noto Sans CJK SC"/>
        <family val="2"/>
      </rPr>
      <t xml:space="preserve">㎡</t>
    </r>
    <r>
      <rPr>
        <sz val="9"/>
        <color rgb="FF8E6A20"/>
        <rFont val="Arial"/>
        <family val="0"/>
        <charset val="1"/>
      </rPr>
      <t xml:space="preserve">).</t>
    </r>
  </si>
  <si>
    <t xml:space="preserve">비교 성사 사례</t>
  </si>
  <si>
    <r>
      <rPr>
        <sz val="9.5"/>
        <color rgb="FF7A8794"/>
        <rFont val="Noto Sans CJK SC"/>
        <family val="2"/>
      </rPr>
      <t xml:space="preserve">반경 </t>
    </r>
    <r>
      <rPr>
        <sz val="9.5"/>
        <color rgb="FF7A8794"/>
        <rFont val="Arial"/>
        <family val="0"/>
        <charset val="1"/>
      </rPr>
      <t xml:space="preserve">150m </t>
    </r>
    <r>
      <rPr>
        <sz val="9.5"/>
        <color rgb="FF7A8794"/>
        <rFont val="Noto Sans CJK SC"/>
        <family val="2"/>
      </rPr>
      <t xml:space="preserve">이내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국토부 실거래가 </t>
    </r>
    <r>
      <rPr>
        <sz val="9.5"/>
        <color rgb="FF7A8794"/>
        <rFont val="Arial"/>
        <family val="0"/>
        <charset val="1"/>
      </rPr>
      <t xml:space="preserve">+ </t>
    </r>
    <r>
      <rPr>
        <sz val="9.5"/>
        <color rgb="FF7A8794"/>
        <rFont val="Noto Sans CJK SC"/>
        <family val="2"/>
      </rPr>
      <t xml:space="preserve">중개인 확인</t>
    </r>
  </si>
  <si>
    <t xml:space="preserve">주소</t>
  </si>
  <si>
    <t xml:space="preserve">용도지역</t>
  </si>
  <si>
    <t xml:space="preserve">등록일</t>
  </si>
  <si>
    <r>
      <rPr>
        <b val="true"/>
        <sz val="9.5"/>
        <color rgb="FFFFFFFF"/>
        <rFont val="Noto Sans CJK SC"/>
        <family val="2"/>
      </rPr>
      <t xml:space="preserve">매매금액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</si>
  <si>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토지 평단가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</si>
  <si>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특이사항</t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</si>
  <si>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23-22</t>
    </r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</si>
  <si>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종일반주거</t>
    </r>
  </si>
  <si>
    <t xml:space="preserve">2026-02</t>
  </si>
  <si>
    <r>
      <rPr>
        <sz val="10"/>
        <color rgb="FF0000FF"/>
        <rFont val="Noto Sans CJK SC"/>
        <family val="2"/>
      </rPr>
      <t xml:space="preserve">이면부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경사로</t>
    </r>
    <r>
      <rPr>
        <sz val="10"/>
        <color rgb="FF0000FF"/>
        <rFont val="Arial"/>
        <family val="0"/>
        <charset val="1"/>
      </rPr>
      <t xml:space="preserve">·1989</t>
    </r>
    <r>
      <rPr>
        <sz val="10"/>
        <color rgb="FF0000FF"/>
        <rFont val="Noto Sans CJK SC"/>
        <family val="2"/>
      </rPr>
      <t xml:space="preserve">년 건축</t>
    </r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</si>
  <si>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27-10</t>
    </r>
  </si>
  <si>
    <t xml:space="preserve">2026-03</t>
  </si>
  <si>
    <r>
      <rPr>
        <sz val="10"/>
        <color rgb="FF0000FF"/>
        <rFont val="Noto Sans CJK SC"/>
        <family val="2"/>
      </rPr>
      <t xml:space="preserve">경사로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토지형상 길쭉</t>
    </r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</si>
  <si>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25-23</t>
    </r>
  </si>
  <si>
    <t xml:space="preserve">2025-12</t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</si>
  <si>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층 구조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신축용</t>
    </r>
  </si>
  <si>
    <r>
      <rPr>
        <sz val="10"/>
        <color rgb="FF0000FF"/>
        <rFont val="Noto Sans CJK SC"/>
        <family val="2"/>
      </rPr>
      <t xml:space="preserve">잠원동 </t>
    </r>
    <r>
      <rPr>
        <sz val="10"/>
        <color rgb="FF0000FF"/>
        <rFont val="Arial"/>
        <family val="0"/>
        <charset val="1"/>
      </rPr>
      <t xml:space="preserve">35-8</t>
    </r>
  </si>
  <si>
    <r>
      <rPr>
        <sz val="10"/>
        <color rgb="FF0000FF"/>
        <rFont val="Arial"/>
        <family val="0"/>
        <charset val="1"/>
      </rPr>
      <t xml:space="preserve">1998</t>
    </r>
    <r>
      <rPr>
        <sz val="10"/>
        <color rgb="FF0000FF"/>
        <rFont val="Noto Sans CJK SC"/>
        <family val="2"/>
      </rPr>
      <t xml:space="preserve">년 건축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주택 있음</t>
    </r>
  </si>
  <si>
    <t xml:space="preserve">본 자산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</si>
  <si>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종일반주거</t>
    </r>
  </si>
  <si>
    <t xml:space="preserve">—</t>
  </si>
  <si>
    <t xml:space="preserve">명도비 포함 확정가</t>
  </si>
  <si>
    <r>
      <rPr>
        <sz val="9.5"/>
        <color rgb="FF2B3440"/>
        <rFont val="Noto Sans CJK SC"/>
        <family val="2"/>
      </rPr>
      <t xml:space="preserve">권역 시세 밴드 — 강남대로 배후 일면부</t>
    </r>
    <r>
      <rPr>
        <sz val="9.5"/>
        <color rgb="FF2B3440"/>
        <rFont val="Arial"/>
        <family val="0"/>
        <charset val="1"/>
      </rPr>
      <t xml:space="preserve">: 1.7</t>
    </r>
    <r>
      <rPr>
        <sz val="9.5"/>
        <color rgb="FF2B3440"/>
        <rFont val="Noto Sans CJK SC"/>
        <family val="2"/>
      </rPr>
      <t xml:space="preserve">억 </t>
    </r>
    <r>
      <rPr>
        <sz val="9.5"/>
        <color rgb="FF2B3440"/>
        <rFont val="Arial"/>
        <family val="0"/>
        <charset val="1"/>
      </rPr>
      <t xml:space="preserve">~ 2.3</t>
    </r>
    <r>
      <rPr>
        <sz val="9.5"/>
        <color rgb="FF2B3440"/>
        <rFont val="Noto Sans CJK SC"/>
        <family val="2"/>
      </rPr>
      <t xml:space="preserve">억 </t>
    </r>
    <r>
      <rPr>
        <sz val="9.5"/>
        <color rgb="FF2B3440"/>
        <rFont val="Arial"/>
        <family val="0"/>
        <charset val="1"/>
      </rPr>
      <t xml:space="preserve">/ </t>
    </r>
    <r>
      <rPr>
        <sz val="9.5"/>
        <color rgb="FF2B3440"/>
        <rFont val="Noto Sans CJK SC"/>
        <family val="2"/>
      </rPr>
      <t xml:space="preserve">토지 평당</t>
    </r>
  </si>
  <si>
    <r>
      <rPr>
        <sz val="9.5"/>
        <color rgb="FF2B3440"/>
        <rFont val="Noto Sans CJK SC"/>
        <family val="2"/>
      </rPr>
      <t xml:space="preserve">                 강남대로 안쪽 이면부</t>
    </r>
    <r>
      <rPr>
        <sz val="9.5"/>
        <color rgb="FF2B3440"/>
        <rFont val="Arial"/>
        <family val="0"/>
        <charset val="1"/>
      </rPr>
      <t xml:space="preserve">: 1.1</t>
    </r>
    <r>
      <rPr>
        <sz val="9.5"/>
        <color rgb="FF2B3440"/>
        <rFont val="Noto Sans CJK SC"/>
        <family val="2"/>
      </rPr>
      <t xml:space="preserve">억 </t>
    </r>
    <r>
      <rPr>
        <sz val="9.5"/>
        <color rgb="FF2B3440"/>
        <rFont val="Arial"/>
        <family val="0"/>
        <charset val="1"/>
      </rPr>
      <t xml:space="preserve">~ 1.6</t>
    </r>
    <r>
      <rPr>
        <sz val="9.5"/>
        <color rgb="FF2B3440"/>
        <rFont val="Noto Sans CJK SC"/>
        <family val="2"/>
      </rPr>
      <t xml:space="preserve">억 </t>
    </r>
    <r>
      <rPr>
        <sz val="9.5"/>
        <color rgb="FF2B3440"/>
        <rFont val="Arial"/>
        <family val="0"/>
        <charset val="1"/>
      </rPr>
      <t xml:space="preserve">/ </t>
    </r>
    <r>
      <rPr>
        <sz val="9.5"/>
        <color rgb="FF2B3440"/>
        <rFont val="Noto Sans CJK SC"/>
        <family val="2"/>
      </rPr>
      <t xml:space="preserve">토지 평당</t>
    </r>
  </si>
  <si>
    <r>
      <rPr>
        <b val="true"/>
        <sz val="14"/>
        <color rgb="FF1F3A5F"/>
        <rFont val="Noto Sans CJK SC"/>
        <family val="2"/>
      </rPr>
      <t xml:space="preserve">신축 후 </t>
    </r>
    <r>
      <rPr>
        <b val="true"/>
        <sz val="14"/>
        <color rgb="FF1F3A5F"/>
        <rFont val="Arial"/>
        <family val="0"/>
        <charset val="1"/>
      </rPr>
      <t xml:space="preserve">Stacking Plan</t>
    </r>
  </si>
  <si>
    <r>
      <rPr>
        <sz val="9.5"/>
        <color rgb="FF7A8794"/>
        <rFont val="Noto Sans CJK SC"/>
        <family val="2"/>
      </rPr>
      <t xml:space="preserve">기준시점 </t>
    </r>
    <r>
      <rPr>
        <sz val="9.5"/>
        <color rgb="FF7A8794"/>
        <rFont val="Arial"/>
        <family val="0"/>
        <charset val="1"/>
      </rPr>
      <t xml:space="preserve">2028</t>
    </r>
    <r>
      <rPr>
        <sz val="9.5"/>
        <color rgb="FF7A8794"/>
        <rFont val="Noto Sans CJK SC"/>
        <family val="2"/>
      </rPr>
      <t xml:space="preserve">년 상반기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중개인 산정</t>
    </r>
  </si>
  <si>
    <r>
      <rPr>
        <b val="true"/>
        <sz val="9.5"/>
        <color rgb="FFFFFFFF"/>
        <rFont val="Noto Sans CJK SC"/>
        <family val="2"/>
      </rPr>
      <t xml:space="preserve">임대면적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평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</si>
  <si>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용도</t>
  </si>
  <si>
    <r>
      <rPr>
        <b val="true"/>
        <sz val="9.5"/>
        <color rgb="FFFFFFFF"/>
        <rFont val="Noto Sans CJK SC"/>
        <family val="2"/>
      </rPr>
      <t xml:space="preserve">평당 임대료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</si>
  <si>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월 임대료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</si>
  <si>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보증금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</si>
  <si>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r>
      <rPr>
        <b val="true"/>
        <sz val="9.5"/>
        <color rgb="FFFFFFFF"/>
        <rFont val="Noto Sans CJK SC"/>
        <family val="2"/>
      </rPr>
      <t xml:space="preserve">월 관리비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</si>
  <si>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B1</t>
  </si>
  <si>
    <r>
      <rPr>
        <sz val="10"/>
        <color rgb="FF0000FF"/>
        <rFont val="Noto Sans CJK SC"/>
        <family val="2"/>
      </rPr>
      <t xml:space="preserve">운동시설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주점 등</t>
    </r>
  </si>
  <si>
    <t xml:space="preserve">1F</t>
  </si>
  <si>
    <r>
      <rPr>
        <sz val="10"/>
        <color rgb="FF0000FF"/>
        <rFont val="Noto Sans CJK SC"/>
        <family val="2"/>
      </rPr>
      <t xml:space="preserve">식음료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리테일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약국 등</t>
    </r>
  </si>
  <si>
    <t xml:space="preserve">2F</t>
  </si>
  <si>
    <r>
      <rPr>
        <sz val="10"/>
        <color rgb="FF0000FF"/>
        <rFont val="Noto Sans CJK SC"/>
        <family val="2"/>
      </rPr>
      <t xml:space="preserve">오피스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의원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식음료 등</t>
    </r>
  </si>
  <si>
    <t xml:space="preserve">3F</t>
  </si>
  <si>
    <r>
      <rPr>
        <sz val="10"/>
        <color rgb="FF0000FF"/>
        <rFont val="Noto Sans CJK SC"/>
        <family val="2"/>
      </rPr>
      <t xml:space="preserve">오피스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의원 등</t>
    </r>
  </si>
  <si>
    <t xml:space="preserve">4F</t>
  </si>
  <si>
    <t xml:space="preserve">5F</t>
  </si>
  <si>
    <t xml:space="preserve">6F</t>
  </si>
  <si>
    <t xml:space="preserve">가정</t>
  </si>
  <si>
    <r>
      <rPr>
        <sz val="10"/>
        <rFont val="Noto Sans CJK SC"/>
        <family val="2"/>
      </rPr>
      <t xml:space="preserve">보증금 배수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 임대료 </t>
    </r>
    <r>
      <rPr>
        <sz val="10"/>
        <rFont val="Arial"/>
        <family val="0"/>
        <charset val="1"/>
      </rPr>
      <t xml:space="preserve">× n)</t>
    </r>
  </si>
  <si>
    <r>
      <rPr>
        <sz val="10"/>
        <rFont val="Noto Sans CJK SC"/>
        <family val="2"/>
      </rPr>
      <t xml:space="preserve">평당 월 관리비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</si>
  <si>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9"/>
        <color rgb="FFA33A3D"/>
        <rFont val="Arial"/>
        <family val="0"/>
        <charset val="1"/>
      </rPr>
      <t xml:space="preserve">※ IM </t>
    </r>
    <r>
      <rPr>
        <sz val="9"/>
        <color rgb="FFA33A3D"/>
        <rFont val="Noto Sans CJK SC"/>
        <family val="2"/>
      </rPr>
      <t xml:space="preserve">원본 </t>
    </r>
    <r>
      <rPr>
        <sz val="9"/>
        <color rgb="FFA33A3D"/>
        <rFont val="Arial"/>
        <family val="0"/>
        <charset val="1"/>
      </rPr>
      <t xml:space="preserve">2F </t>
    </r>
    <r>
      <rPr>
        <sz val="9"/>
        <color rgb="FFA33A3D"/>
        <rFont val="Noto Sans CJK SC"/>
        <family val="2"/>
      </rPr>
      <t xml:space="preserve">월임대료는 </t>
    </r>
    <r>
      <rPr>
        <sz val="9"/>
        <color rgb="FFA33A3D"/>
        <rFont val="Arial"/>
        <family val="0"/>
        <charset val="1"/>
      </rPr>
      <t xml:space="preserve">18,894,000</t>
    </r>
    <r>
      <rPr>
        <sz val="9"/>
        <color rgb="FFA33A3D"/>
        <rFont val="Noto Sans CJK SC"/>
        <family val="2"/>
      </rPr>
      <t xml:space="preserve">원이나 </t>
    </r>
    <r>
      <rPr>
        <sz val="9"/>
        <color rgb="FFA33A3D"/>
        <rFont val="Arial"/>
        <family val="0"/>
        <charset val="1"/>
      </rPr>
      <t xml:space="preserve">94.67</t>
    </r>
    <r>
      <rPr>
        <sz val="9"/>
        <color rgb="FFA33A3D"/>
        <rFont val="Noto Sans CJK SC"/>
        <family val="2"/>
      </rPr>
      <t xml:space="preserve">평 </t>
    </r>
    <r>
      <rPr>
        <sz val="9"/>
        <color rgb="FFA33A3D"/>
        <rFont val="Arial"/>
        <family val="0"/>
        <charset val="1"/>
      </rPr>
      <t xml:space="preserve">× 200,000</t>
    </r>
    <r>
      <rPr>
        <sz val="9"/>
        <color rgb="FFA33A3D"/>
        <rFont val="Noto Sans CJK SC"/>
        <family val="2"/>
      </rPr>
      <t xml:space="preserve">원 </t>
    </r>
    <r>
      <rPr>
        <sz val="9"/>
        <color rgb="FFA33A3D"/>
        <rFont val="Arial"/>
        <family val="0"/>
        <charset val="1"/>
      </rPr>
      <t xml:space="preserve">= 18,934,000</t>
    </r>
    <r>
      <rPr>
        <sz val="9"/>
        <color rgb="FFA33A3D"/>
        <rFont val="Noto Sans CJK SC"/>
        <family val="2"/>
      </rPr>
      <t xml:space="preserve">원입니다</t>
    </r>
    <r>
      <rPr>
        <sz val="9"/>
        <color rgb="FFA33A3D"/>
        <rFont val="Arial"/>
        <family val="0"/>
        <charset val="1"/>
      </rPr>
      <t xml:space="preserve">. 40,000</t>
    </r>
    <r>
      <rPr>
        <sz val="9"/>
        <color rgb="FFA33A3D"/>
        <rFont val="Noto Sans CJK SC"/>
        <family val="2"/>
      </rPr>
      <t xml:space="preserve">원 차이는 원본의 반올림 또는 오기로 보입니다</t>
    </r>
    <r>
      <rPr>
        <sz val="9"/>
        <color rgb="FFA33A3D"/>
        <rFont val="Arial"/>
        <family val="0"/>
        <charset val="1"/>
      </rPr>
      <t xml:space="preserve">.</t>
    </r>
  </si>
  <si>
    <t xml:space="preserve">사업 투입비용</t>
  </si>
  <si>
    <r>
      <rPr>
        <sz val="9.5"/>
        <color rgb="FF7A8794"/>
        <rFont val="Arial"/>
        <family val="0"/>
        <charset val="1"/>
      </rPr>
      <t xml:space="preserve">IM </t>
    </r>
    <r>
      <rPr>
        <sz val="9.5"/>
        <color rgb="FF7A8794"/>
        <rFont val="Noto Sans CJK SC"/>
        <family val="2"/>
      </rPr>
      <t xml:space="preserve">원본 기준</t>
    </r>
  </si>
  <si>
    <t xml:space="preserve">구분</t>
  </si>
  <si>
    <r>
      <rPr>
        <b val="true"/>
        <sz val="9.5"/>
        <color rgb="FFFFFFFF"/>
        <rFont val="Noto Sans CJK SC"/>
        <family val="2"/>
      </rPr>
      <t xml:space="preserve">금액</t>
    </r>
    <r>
      <rPr>
        <b val="true"/>
        <sz val="9.5"/>
        <color rgb="FFFFFFFF"/>
        <rFont val="Arial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원</t>
    </r>
    <r>
      <rPr>
        <b val="true"/>
        <sz val="9.5"/>
        <color rgb="FFFFFFFF"/>
        <rFont val="Arial"/>
        <family val="0"/>
        <charset val="1"/>
      </rPr>
      <t xml:space="preserve">)</t>
    </r>
  </si>
  <si>
    <t xml:space="preserve">산정 근거</t>
  </si>
  <si>
    <t xml:space="preserve">① 매입비용</t>
  </si>
  <si>
    <r>
      <rPr>
        <sz val="10"/>
        <rFont val="Noto Sans CJK SC"/>
        <family val="2"/>
      </rPr>
      <t xml:space="preserve">매매 계약가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금융비용 제외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</si>
  <si>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② 건축비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평당 </t>
    </r>
    <r>
      <rPr>
        <b val="true"/>
        <sz val="10"/>
        <rFont val="Arial"/>
        <family val="0"/>
        <charset val="1"/>
      </rPr>
      <t xml:space="preserve">1,200</t>
    </r>
    <r>
      <rPr>
        <b val="true"/>
        <sz val="10"/>
        <rFont val="Noto Sans CJK SC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</si>
  <si>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신축 연면적 </t>
    </r>
    <r>
      <rPr>
        <sz val="10"/>
        <rFont val="Arial"/>
        <family val="0"/>
        <charset val="1"/>
      </rPr>
      <t xml:space="preserve">614.03</t>
    </r>
    <r>
      <rPr>
        <sz val="10"/>
        <rFont val="Noto Sans CJK SC"/>
        <family val="2"/>
      </rPr>
      <t xml:space="preserve">평 </t>
    </r>
    <r>
      <rPr>
        <sz val="10"/>
        <rFont val="Arial"/>
        <family val="0"/>
        <charset val="1"/>
      </rPr>
      <t xml:space="preserve">× 12,000,000</t>
    </r>
    <r>
      <rPr>
        <sz val="10"/>
        <rFont val="Noto Sans CJK SC"/>
        <family val="2"/>
      </rPr>
      <t xml:space="preserve">원</t>
    </r>
  </si>
  <si>
    <t xml:space="preserve">③ 예비비용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</si>
  <si>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원본 기재</t>
    </r>
  </si>
  <si>
    <t xml:space="preserve">총 사업비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</si>
  <si>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32,095,160,000</t>
    </r>
    <r>
      <rPr>
        <sz val="10"/>
        <rFont val="Noto Sans CJK SC"/>
        <family val="2"/>
      </rPr>
      <t xml:space="preserve">원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</si>
</sst>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00"/>
    <numFmt numFmtId="167" formatCode="#,##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Noto Sans CJK SC"/>
      <family val="2"/>
    </font>
    <font>
      <sz val="9.5"/>
      <color rgb="FF7A8794"/>
      <name val="Arial"/>
      <family val="0"/>
      <charset val="1"/>
    </font>
    <font>
      <sz val="9.5"/>
      <color rgb="FF7A8794"/>
      <name val="Noto Sans CJK SC"/>
      <family val="2"/>
    </font>
    <font>
      <b val="true"/>
      <sz val="11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800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1F3A5F"/>
      <name val="Noto Sans CJK SC"/>
      <family val="2"/>
    </font>
    <font>
      <b val="true"/>
      <sz val="10"/>
      <color rgb="FF1F3A5F"/>
      <name val="Arial"/>
      <family val="0"/>
      <charset val="1"/>
    </font>
    <font>
      <sz val="10"/>
      <color rgb="FF7A8794"/>
      <name val="Noto Sans CJK SC"/>
      <family val="2"/>
    </font>
    <font>
      <sz val="10"/>
      <color rgb="FF7A8794"/>
      <name val="Arial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FFFFFF"/>
      <name val="Arial"/>
      <family val="0"/>
      <charset val="1"/>
    </font>
    <font>
      <sz val="9"/>
      <color rgb="FF7A8794"/>
      <name val="Noto Sans CJK SC"/>
      <family val="2"/>
    </font>
    <font>
      <sz val="9"/>
      <color rgb="FF7A8794"/>
      <name val="Arial"/>
      <family val="0"/>
      <charset val="1"/>
    </font>
    <font>
      <sz val="9"/>
      <color rgb="FF8E6A20"/>
      <name val="Arial"/>
      <family val="0"/>
      <charset val="1"/>
    </font>
    <font>
      <sz val="9"/>
      <color rgb="FF8E6A20"/>
      <name val="Noto Sans CJK SC"/>
      <family val="2"/>
    </font>
    <font>
      <sz val="9.5"/>
      <color rgb="FF2B3440"/>
      <name val="Noto Sans CJK SC"/>
      <family val="2"/>
    </font>
    <font>
      <sz val="9.5"/>
      <color rgb="FF2B344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9"/>
      <color rgb="FFA33A3D"/>
      <name val="Arial"/>
      <family val="0"/>
      <charset val="1"/>
    </font>
    <font>
      <sz val="9"/>
      <color rgb="FFA33A3D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2B3440"/>
      </patternFill>
    </fill>
    <fill>
      <patternFill patternType="solid">
        <fgColor rgb="FFF5F7F9"/>
        <bgColor rgb="FFFBF6EC"/>
      </patternFill>
    </fill>
    <fill>
      <patternFill patternType="solid">
        <fgColor rgb="FFFBF6EC"/>
        <bgColor rgb="FFF5F7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FE5"/>
      </left>
      <right style="thin">
        <color rgb="FFD9DFE5"/>
      </right>
      <top style="thin">
        <color rgb="FFD9DFE5"/>
      </top>
      <bottom style="thin">
        <color rgb="FFD9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6A20"/>
      <rgbColor rgb="FF800080"/>
      <rgbColor rgb="FF008080"/>
      <rgbColor rgb="FFC0C0C0"/>
      <rgbColor rgb="FF7A8794"/>
      <rgbColor rgb="FF9999FF"/>
      <rgbColor rgb="FFA33A3D"/>
      <rgbColor rgb="FFFBF6EC"/>
      <rgbColor rgb="FFF5F7F9"/>
      <rgbColor rgb="FF660066"/>
      <rgbColor rgb="FFFF8080"/>
      <rgbColor rgb="FF0066CC"/>
      <rgbColor rgb="FFD9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B3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7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8" t="s">
        <v>8</v>
      </c>
      <c r="B11" s="5" t="s">
        <v>9</v>
      </c>
    </row>
    <row r="12" customFormat="false" ht="15" hidden="false" customHeight="false" outlineLevel="0" collapsed="false">
      <c r="A12" s="8" t="s">
        <v>10</v>
      </c>
      <c r="B12" s="5" t="s">
        <v>11</v>
      </c>
    </row>
    <row r="13" customFormat="false" ht="15" hidden="false" customHeight="false" outlineLevel="0" collapsed="false">
      <c r="A13" s="9" t="s">
        <v>12</v>
      </c>
      <c r="B13" s="5" t="s">
        <v>13</v>
      </c>
    </row>
    <row r="14" customFormat="false" ht="15" hidden="false" customHeight="false" outlineLevel="0" collapsed="false">
      <c r="A14" s="10" t="s">
        <v>14</v>
      </c>
      <c r="B14" s="5" t="s">
        <v>15</v>
      </c>
    </row>
    <row r="15" customFormat="false" ht="15" hidden="false" customHeight="false" outlineLevel="0" collapsed="false">
      <c r="A15" s="8" t="s">
        <v>16</v>
      </c>
      <c r="B15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5" min="5" style="0" width="17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11" t="s">
        <v>19</v>
      </c>
    </row>
    <row r="4" customFormat="false" ht="30" hidden="false" customHeight="true" outlineLevel="0" collapsed="false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</row>
    <row r="5" customFormat="false" ht="15" hidden="false" customHeight="false" outlineLevel="0" collapsed="false">
      <c r="A5" s="13" t="s">
        <v>26</v>
      </c>
      <c r="B5" s="14" t="s">
        <v>27</v>
      </c>
      <c r="C5" s="15" t="n">
        <v>511.7</v>
      </c>
      <c r="D5" s="16" t="n">
        <f aca="false">C5/3.3058</f>
        <v>154.788553451509</v>
      </c>
      <c r="E5" s="17" t="n">
        <v>48561982</v>
      </c>
      <c r="F5" s="14" t="s">
        <v>28</v>
      </c>
    </row>
    <row r="6" customFormat="false" ht="15" hidden="false" customHeight="false" outlineLevel="0" collapsed="false">
      <c r="A6" s="13" t="s">
        <v>29</v>
      </c>
      <c r="B6" s="14" t="s">
        <v>27</v>
      </c>
      <c r="C6" s="15" t="n">
        <v>104.4</v>
      </c>
      <c r="D6" s="16" t="n">
        <f aca="false">C6/3.3058</f>
        <v>31.5808578861395</v>
      </c>
      <c r="E6" s="17" t="n">
        <v>48561982</v>
      </c>
      <c r="F6" s="14" t="s">
        <v>28</v>
      </c>
    </row>
    <row r="7" customFormat="false" ht="15" hidden="false" customHeight="false" outlineLevel="0" collapsed="false">
      <c r="A7" s="18" t="s">
        <v>30</v>
      </c>
      <c r="B7" s="19"/>
      <c r="C7" s="20" t="n">
        <f aca="false">SUM(C5:C6)</f>
        <v>616.1</v>
      </c>
      <c r="D7" s="21" t="n">
        <f aca="false">SUM(D5:D6)</f>
        <v>186.369411337649</v>
      </c>
      <c r="E7" s="19"/>
      <c r="F7" s="19"/>
    </row>
    <row r="9" customFormat="false" ht="15" hidden="false" customHeight="false" outlineLevel="0" collapsed="false">
      <c r="A9" s="2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11" t="s">
        <v>33</v>
      </c>
    </row>
    <row r="4" customFormat="false" ht="30" hidden="false" customHeight="true" outlineLevel="0" collapsed="false">
      <c r="A4" s="12" t="s">
        <v>34</v>
      </c>
      <c r="B4" s="12" t="s">
        <v>35</v>
      </c>
      <c r="C4" s="12" t="s">
        <v>36</v>
      </c>
      <c r="D4" s="12" t="s">
        <v>37</v>
      </c>
      <c r="E4" s="12" t="s">
        <v>38</v>
      </c>
    </row>
    <row r="5" customFormat="false" ht="15" hidden="false" customHeight="false" outlineLevel="0" collapsed="false">
      <c r="A5" s="14" t="s">
        <v>39</v>
      </c>
      <c r="B5" s="13" t="s">
        <v>40</v>
      </c>
      <c r="C5" s="23" t="n">
        <v>96.43</v>
      </c>
      <c r="D5" s="16" t="n">
        <f aca="false">C5*3.3058</f>
        <v>318.778294</v>
      </c>
      <c r="E5" s="14" t="s">
        <v>41</v>
      </c>
    </row>
    <row r="6" customFormat="false" ht="15" hidden="false" customHeight="false" outlineLevel="0" collapsed="false">
      <c r="A6" s="14" t="s">
        <v>39</v>
      </c>
      <c r="B6" s="13" t="s">
        <v>40</v>
      </c>
      <c r="C6" s="23" t="n">
        <v>44.1</v>
      </c>
      <c r="D6" s="16" t="n">
        <f aca="false">C6*3.3058</f>
        <v>145.78578</v>
      </c>
      <c r="E6" s="14" t="s">
        <v>41</v>
      </c>
    </row>
    <row r="7" customFormat="false" ht="15" hidden="false" customHeight="false" outlineLevel="0" collapsed="false">
      <c r="A7" s="14" t="s">
        <v>39</v>
      </c>
      <c r="B7" s="13" t="s">
        <v>40</v>
      </c>
      <c r="C7" s="23" t="n">
        <v>14.02</v>
      </c>
      <c r="D7" s="16" t="n">
        <f aca="false">C7*3.3058</f>
        <v>46.347316</v>
      </c>
      <c r="E7" s="14" t="s">
        <v>41</v>
      </c>
    </row>
    <row r="8" customFormat="false" ht="15" hidden="false" customHeight="false" outlineLevel="0" collapsed="false">
      <c r="A8" s="14" t="s">
        <v>42</v>
      </c>
      <c r="B8" s="13" t="s">
        <v>43</v>
      </c>
      <c r="C8" s="23" t="n">
        <v>31.37</v>
      </c>
      <c r="D8" s="16" t="n">
        <f aca="false">C8*3.3058</f>
        <v>103.702946</v>
      </c>
      <c r="E8" s="14" t="s">
        <v>41</v>
      </c>
    </row>
    <row r="9" customFormat="false" ht="15" hidden="false" customHeight="false" outlineLevel="0" collapsed="false">
      <c r="A9" s="14" t="s">
        <v>42</v>
      </c>
      <c r="B9" s="13" t="s">
        <v>44</v>
      </c>
      <c r="C9" s="23" t="n">
        <v>28.15</v>
      </c>
      <c r="D9" s="16" t="n">
        <f aca="false">C9*3.3058</f>
        <v>93.05827</v>
      </c>
      <c r="E9" s="14" t="s">
        <v>41</v>
      </c>
    </row>
    <row r="10" customFormat="false" ht="15" hidden="false" customHeight="false" outlineLevel="0" collapsed="false">
      <c r="A10" s="14" t="s">
        <v>42</v>
      </c>
      <c r="B10" s="13" t="s">
        <v>40</v>
      </c>
      <c r="C10" s="23" t="n">
        <v>12.16</v>
      </c>
      <c r="D10" s="16" t="n">
        <f aca="false">C10*3.3058</f>
        <v>40.198528</v>
      </c>
      <c r="E10" s="14" t="s">
        <v>41</v>
      </c>
    </row>
    <row r="11" customFormat="false" ht="15" hidden="false" customHeight="false" outlineLevel="0" collapsed="false">
      <c r="A11" s="14" t="s">
        <v>42</v>
      </c>
      <c r="B11" s="13" t="s">
        <v>45</v>
      </c>
      <c r="C11" s="23" t="n">
        <v>9.68</v>
      </c>
      <c r="D11" s="16" t="n">
        <f aca="false">C11*3.3058</f>
        <v>32.000144</v>
      </c>
      <c r="E11" s="14" t="s">
        <v>41</v>
      </c>
    </row>
    <row r="12" customFormat="false" ht="15" hidden="false" customHeight="false" outlineLevel="0" collapsed="false">
      <c r="A12" s="14" t="s">
        <v>42</v>
      </c>
      <c r="B12" s="13" t="s">
        <v>46</v>
      </c>
      <c r="C12" s="23" t="n">
        <v>7.99</v>
      </c>
      <c r="D12" s="16" t="n">
        <f aca="false">C12*3.3058</f>
        <v>26.413342</v>
      </c>
      <c r="E12" s="14" t="s">
        <v>47</v>
      </c>
    </row>
    <row r="13" customFormat="false" ht="15" hidden="false" customHeight="false" outlineLevel="0" collapsed="false">
      <c r="A13" s="14" t="s">
        <v>48</v>
      </c>
      <c r="B13" s="13" t="s">
        <v>49</v>
      </c>
      <c r="C13" s="23" t="n">
        <v>80.58</v>
      </c>
      <c r="D13" s="16" t="n">
        <f aca="false">C13*3.3058</f>
        <v>266.381364</v>
      </c>
      <c r="E13" s="14" t="s">
        <v>41</v>
      </c>
    </row>
    <row r="14" customFormat="false" ht="15" hidden="false" customHeight="false" outlineLevel="0" collapsed="false">
      <c r="A14" s="14" t="s">
        <v>48</v>
      </c>
      <c r="B14" s="13" t="s">
        <v>40</v>
      </c>
      <c r="C14" s="23" t="n">
        <v>12.16</v>
      </c>
      <c r="D14" s="16" t="n">
        <f aca="false">C14*3.3058</f>
        <v>40.198528</v>
      </c>
      <c r="E14" s="14" t="s">
        <v>41</v>
      </c>
    </row>
    <row r="15" customFormat="false" ht="15" hidden="false" customHeight="false" outlineLevel="0" collapsed="false">
      <c r="A15" s="14" t="s">
        <v>50</v>
      </c>
      <c r="B15" s="13" t="s">
        <v>51</v>
      </c>
      <c r="C15" s="23" t="n">
        <v>41.02</v>
      </c>
      <c r="D15" s="16" t="n">
        <f aca="false">C15*3.3058</f>
        <v>135.603916</v>
      </c>
      <c r="E15" s="14" t="s">
        <v>41</v>
      </c>
    </row>
    <row r="16" customFormat="false" ht="15" hidden="false" customHeight="false" outlineLevel="0" collapsed="false">
      <c r="A16" s="14" t="s">
        <v>50</v>
      </c>
      <c r="B16" s="13" t="s">
        <v>52</v>
      </c>
      <c r="C16" s="23" t="n">
        <v>39.55</v>
      </c>
      <c r="D16" s="16" t="n">
        <f aca="false">C16*3.3058</f>
        <v>130.74439</v>
      </c>
      <c r="E16" s="14" t="s">
        <v>41</v>
      </c>
    </row>
    <row r="17" customFormat="false" ht="15" hidden="false" customHeight="false" outlineLevel="0" collapsed="false">
      <c r="A17" s="14" t="s">
        <v>50</v>
      </c>
      <c r="B17" s="13" t="s">
        <v>40</v>
      </c>
      <c r="C17" s="23" t="n">
        <v>12.16</v>
      </c>
      <c r="D17" s="16" t="n">
        <f aca="false">C17*3.3058</f>
        <v>40.198528</v>
      </c>
      <c r="E17" s="14" t="s">
        <v>41</v>
      </c>
    </row>
    <row r="18" customFormat="false" ht="15" hidden="false" customHeight="false" outlineLevel="0" collapsed="false">
      <c r="A18" s="14" t="s">
        <v>53</v>
      </c>
      <c r="B18" s="13" t="s">
        <v>51</v>
      </c>
      <c r="C18" s="23" t="n">
        <v>80.58</v>
      </c>
      <c r="D18" s="16" t="n">
        <f aca="false">C18*3.3058</f>
        <v>266.381364</v>
      </c>
      <c r="E18" s="14" t="s">
        <v>41</v>
      </c>
    </row>
    <row r="19" customFormat="false" ht="15" hidden="false" customHeight="false" outlineLevel="0" collapsed="false">
      <c r="A19" s="14" t="s">
        <v>53</v>
      </c>
      <c r="B19" s="13" t="s">
        <v>40</v>
      </c>
      <c r="C19" s="23" t="n">
        <v>12.16</v>
      </c>
      <c r="D19" s="16" t="n">
        <f aca="false">C19*3.3058</f>
        <v>40.198528</v>
      </c>
      <c r="E19" s="14" t="s">
        <v>41</v>
      </c>
    </row>
    <row r="20" customFormat="false" ht="15" hidden="false" customHeight="false" outlineLevel="0" collapsed="false">
      <c r="A20" s="14" t="s">
        <v>54</v>
      </c>
      <c r="B20" s="13" t="s">
        <v>55</v>
      </c>
      <c r="C20" s="23" t="n">
        <v>41.06</v>
      </c>
      <c r="D20" s="16" t="n">
        <f aca="false">C20*3.3058</f>
        <v>135.736148</v>
      </c>
      <c r="E20" s="14" t="s">
        <v>41</v>
      </c>
    </row>
    <row r="21" customFormat="false" ht="15" hidden="false" customHeight="false" outlineLevel="0" collapsed="false">
      <c r="A21" s="14" t="s">
        <v>54</v>
      </c>
      <c r="B21" s="13" t="s">
        <v>55</v>
      </c>
      <c r="C21" s="23" t="n">
        <v>39.52</v>
      </c>
      <c r="D21" s="16" t="n">
        <f aca="false">C21*3.3058</f>
        <v>130.645216</v>
      </c>
      <c r="E21" s="14" t="s">
        <v>41</v>
      </c>
    </row>
    <row r="22" customFormat="false" ht="15" hidden="false" customHeight="false" outlineLevel="0" collapsed="false">
      <c r="A22" s="14" t="s">
        <v>54</v>
      </c>
      <c r="B22" s="13" t="s">
        <v>40</v>
      </c>
      <c r="C22" s="23" t="n">
        <v>12.16</v>
      </c>
      <c r="D22" s="16" t="n">
        <f aca="false">C22*3.3058</f>
        <v>40.198528</v>
      </c>
      <c r="E22" s="14" t="s">
        <v>41</v>
      </c>
    </row>
    <row r="23" customFormat="false" ht="15" hidden="false" customHeight="false" outlineLevel="0" collapsed="false">
      <c r="A23" s="18" t="s">
        <v>30</v>
      </c>
      <c r="B23" s="19"/>
      <c r="C23" s="21" t="n">
        <f aca="false">SUM(C5:C22)</f>
        <v>614.85</v>
      </c>
      <c r="D23" s="21" t="n">
        <f aca="false">SUM(D5:D22)</f>
        <v>2032.57113</v>
      </c>
      <c r="E23" s="19"/>
    </row>
    <row r="25" customFormat="false" ht="15" hidden="false" customHeight="false" outlineLevel="0" collapsed="false">
      <c r="A25" s="22" t="s">
        <v>56</v>
      </c>
    </row>
    <row r="26" customFormat="false" ht="15" hidden="false" customHeight="false" outlineLevel="0" collapsed="false">
      <c r="A26" s="2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11" t="s">
        <v>59</v>
      </c>
    </row>
    <row r="4" customFormat="false" ht="30" hidden="false" customHeight="true" outlineLevel="0" collapsed="false">
      <c r="A4" s="12" t="s">
        <v>60</v>
      </c>
      <c r="B4" s="12" t="s">
        <v>61</v>
      </c>
      <c r="C4" s="12" t="s">
        <v>62</v>
      </c>
      <c r="D4" s="12" t="s">
        <v>63</v>
      </c>
      <c r="E4" s="12" t="s">
        <v>64</v>
      </c>
      <c r="F4" s="12" t="s">
        <v>65</v>
      </c>
    </row>
    <row r="5" customFormat="false" ht="15" hidden="false" customHeight="false" outlineLevel="0" collapsed="false">
      <c r="A5" s="13" t="s">
        <v>66</v>
      </c>
      <c r="B5" s="25" t="s">
        <v>67</v>
      </c>
      <c r="C5" s="25" t="s">
        <v>68</v>
      </c>
      <c r="D5" s="17" t="n">
        <v>15000000000</v>
      </c>
      <c r="E5" s="17" t="n">
        <v>142327144</v>
      </c>
      <c r="F5" s="13" t="s">
        <v>69</v>
      </c>
    </row>
    <row r="6" customFormat="false" ht="15" hidden="false" customHeight="false" outlineLevel="0" collapsed="false">
      <c r="A6" s="13" t="s">
        <v>70</v>
      </c>
      <c r="B6" s="25" t="s">
        <v>67</v>
      </c>
      <c r="C6" s="25" t="s">
        <v>71</v>
      </c>
      <c r="D6" s="17" t="n">
        <v>30000000000</v>
      </c>
      <c r="E6" s="17" t="n">
        <v>209846707</v>
      </c>
      <c r="F6" s="13" t="s">
        <v>72</v>
      </c>
    </row>
    <row r="7" customFormat="false" ht="15" hidden="false" customHeight="false" outlineLevel="0" collapsed="false">
      <c r="A7" s="13" t="s">
        <v>73</v>
      </c>
      <c r="B7" s="25" t="s">
        <v>67</v>
      </c>
      <c r="C7" s="25" t="s">
        <v>74</v>
      </c>
      <c r="D7" s="17" t="n">
        <v>10500000000</v>
      </c>
      <c r="E7" s="17" t="n">
        <v>136656472</v>
      </c>
      <c r="F7" s="26" t="s">
        <v>75</v>
      </c>
    </row>
    <row r="8" customFormat="false" ht="15" hidden="false" customHeight="false" outlineLevel="0" collapsed="false">
      <c r="A8" s="13" t="s">
        <v>76</v>
      </c>
      <c r="B8" s="25" t="s">
        <v>67</v>
      </c>
      <c r="C8" s="25" t="s">
        <v>68</v>
      </c>
      <c r="D8" s="17" t="n">
        <v>6700000000</v>
      </c>
      <c r="E8" s="17" t="n">
        <v>164920032</v>
      </c>
      <c r="F8" s="26" t="s">
        <v>77</v>
      </c>
    </row>
    <row r="9" customFormat="false" ht="15" hidden="false" customHeight="false" outlineLevel="0" collapsed="false">
      <c r="A9" s="27" t="s">
        <v>78</v>
      </c>
      <c r="B9" s="28" t="s">
        <v>79</v>
      </c>
      <c r="C9" s="28" t="s">
        <v>80</v>
      </c>
      <c r="D9" s="29" t="n">
        <v>24226800000</v>
      </c>
      <c r="E9" s="29" t="n">
        <f aca="false">D9/186.36</f>
        <v>130000000</v>
      </c>
      <c r="F9" s="30" t="s">
        <v>81</v>
      </c>
    </row>
    <row r="11" customFormat="false" ht="15" hidden="false" customHeight="false" outlineLevel="0" collapsed="false">
      <c r="A11" s="31" t="s">
        <v>82</v>
      </c>
    </row>
    <row r="12" customFormat="false" ht="15" hidden="false" customHeight="false" outlineLevel="0" collapsed="false">
      <c r="A12" s="31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5" min="4" style="0" width="17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21.6" hidden="false" customHeight="false" outlineLevel="0" collapsed="false">
      <c r="A1" s="1" t="s">
        <v>84</v>
      </c>
    </row>
    <row r="2" customFormat="false" ht="15" hidden="false" customHeight="false" outlineLevel="0" collapsed="false">
      <c r="A2" s="11" t="s">
        <v>85</v>
      </c>
    </row>
    <row r="4" customFormat="false" ht="30" hidden="false" customHeight="true" outlineLevel="0" collapsed="false">
      <c r="A4" s="12" t="s">
        <v>34</v>
      </c>
      <c r="B4" s="12" t="s">
        <v>86</v>
      </c>
      <c r="C4" s="12" t="s">
        <v>87</v>
      </c>
      <c r="D4" s="12" t="s">
        <v>88</v>
      </c>
      <c r="E4" s="12" t="s">
        <v>89</v>
      </c>
      <c r="F4" s="12" t="s">
        <v>90</v>
      </c>
      <c r="G4" s="12" t="s">
        <v>91</v>
      </c>
    </row>
    <row r="5" customFormat="false" ht="15" hidden="false" customHeight="false" outlineLevel="0" collapsed="false">
      <c r="A5" s="25" t="s">
        <v>92</v>
      </c>
      <c r="B5" s="23" t="n">
        <v>150</v>
      </c>
      <c r="C5" s="13" t="s">
        <v>93</v>
      </c>
      <c r="D5" s="17" t="n">
        <v>60000</v>
      </c>
      <c r="E5" s="32" t="n">
        <f aca="false">ROUND(B5*D5,0)</f>
        <v>9000000</v>
      </c>
      <c r="F5" s="32" t="n">
        <f aca="false">E5*$B$16</f>
        <v>108000000</v>
      </c>
      <c r="G5" s="32" t="n">
        <f aca="false">ROUND(B5*$B$17,0)</f>
        <v>2250000</v>
      </c>
    </row>
    <row r="6" customFormat="false" ht="15" hidden="false" customHeight="false" outlineLevel="0" collapsed="false">
      <c r="A6" s="25" t="s">
        <v>94</v>
      </c>
      <c r="B6" s="23" t="n">
        <v>70</v>
      </c>
      <c r="C6" s="13" t="s">
        <v>95</v>
      </c>
      <c r="D6" s="17" t="n">
        <v>220000</v>
      </c>
      <c r="E6" s="32" t="n">
        <f aca="false">ROUND(B6*D6,0)</f>
        <v>15400000</v>
      </c>
      <c r="F6" s="32" t="n">
        <f aca="false">E6*$B$16</f>
        <v>184800000</v>
      </c>
      <c r="G6" s="32" t="n">
        <f aca="false">ROUND(B6*$B$17,0)</f>
        <v>1050000</v>
      </c>
    </row>
    <row r="7" customFormat="false" ht="15" hidden="false" customHeight="false" outlineLevel="0" collapsed="false">
      <c r="A7" s="25" t="s">
        <v>96</v>
      </c>
      <c r="B7" s="23" t="n">
        <v>94.67</v>
      </c>
      <c r="C7" s="13" t="s">
        <v>97</v>
      </c>
      <c r="D7" s="17" t="n">
        <v>200000</v>
      </c>
      <c r="E7" s="32" t="n">
        <f aca="false">ROUND(B7*D7,0)</f>
        <v>18934000</v>
      </c>
      <c r="F7" s="32" t="n">
        <f aca="false">E7*$B$16</f>
        <v>227208000</v>
      </c>
      <c r="G7" s="32" t="n">
        <f aca="false">ROUND(B7*$B$17,0)</f>
        <v>1420050</v>
      </c>
    </row>
    <row r="8" customFormat="false" ht="15" hidden="false" customHeight="false" outlineLevel="0" collapsed="false">
      <c r="A8" s="25" t="s">
        <v>98</v>
      </c>
      <c r="B8" s="23" t="n">
        <v>94.67</v>
      </c>
      <c r="C8" s="13" t="s">
        <v>99</v>
      </c>
      <c r="D8" s="17" t="n">
        <v>180000</v>
      </c>
      <c r="E8" s="32" t="n">
        <f aca="false">ROUND(B8*D8,0)</f>
        <v>17040600</v>
      </c>
      <c r="F8" s="32" t="n">
        <f aca="false">E8*$B$16</f>
        <v>204487200</v>
      </c>
      <c r="G8" s="32" t="n">
        <f aca="false">ROUND(B8*$B$17,0)</f>
        <v>1420050</v>
      </c>
    </row>
    <row r="9" customFormat="false" ht="15" hidden="false" customHeight="false" outlineLevel="0" collapsed="false">
      <c r="A9" s="25" t="s">
        <v>100</v>
      </c>
      <c r="B9" s="23" t="n">
        <v>94.67</v>
      </c>
      <c r="C9" s="13" t="s">
        <v>99</v>
      </c>
      <c r="D9" s="17" t="n">
        <v>180000</v>
      </c>
      <c r="E9" s="32" t="n">
        <f aca="false">ROUND(B9*D9,0)</f>
        <v>17040600</v>
      </c>
      <c r="F9" s="32" t="n">
        <f aca="false">E9*$B$16</f>
        <v>204487200</v>
      </c>
      <c r="G9" s="32" t="n">
        <f aca="false">ROUND(B9*$B$17,0)</f>
        <v>1420050</v>
      </c>
    </row>
    <row r="10" customFormat="false" ht="15" hidden="false" customHeight="false" outlineLevel="0" collapsed="false">
      <c r="A10" s="25" t="s">
        <v>101</v>
      </c>
      <c r="B10" s="23" t="n">
        <v>60</v>
      </c>
      <c r="C10" s="13" t="s">
        <v>99</v>
      </c>
      <c r="D10" s="17" t="n">
        <v>180000</v>
      </c>
      <c r="E10" s="32" t="n">
        <f aca="false">ROUND(B10*D10,0)</f>
        <v>10800000</v>
      </c>
      <c r="F10" s="32" t="n">
        <f aca="false">E10*$B$16</f>
        <v>129600000</v>
      </c>
      <c r="G10" s="32" t="n">
        <f aca="false">ROUND(B10*$B$17,0)</f>
        <v>900000</v>
      </c>
    </row>
    <row r="11" customFormat="false" ht="15" hidden="false" customHeight="false" outlineLevel="0" collapsed="false">
      <c r="A11" s="25" t="s">
        <v>102</v>
      </c>
      <c r="B11" s="23" t="n">
        <v>50</v>
      </c>
      <c r="C11" s="13" t="s">
        <v>99</v>
      </c>
      <c r="D11" s="17" t="n">
        <v>180000</v>
      </c>
      <c r="E11" s="32" t="n">
        <f aca="false">ROUND(B11*D11,0)</f>
        <v>9000000</v>
      </c>
      <c r="F11" s="32" t="n">
        <f aca="false">E11*$B$16</f>
        <v>108000000</v>
      </c>
      <c r="G11" s="32" t="n">
        <f aca="false">ROUND(B11*$B$17,0)</f>
        <v>750000</v>
      </c>
    </row>
    <row r="12" customFormat="false" ht="15" hidden="false" customHeight="false" outlineLevel="0" collapsed="false">
      <c r="A12" s="33" t="s">
        <v>30</v>
      </c>
      <c r="B12" s="21" t="n">
        <f aca="false">SUM(B5:B11)</f>
        <v>614.01</v>
      </c>
      <c r="C12" s="19"/>
      <c r="D12" s="19"/>
      <c r="E12" s="34" t="n">
        <f aca="false">SUM(E5:E11)</f>
        <v>97215200</v>
      </c>
      <c r="F12" s="34" t="n">
        <f aca="false">SUM(F5:F11)</f>
        <v>1166582400</v>
      </c>
      <c r="G12" s="34" t="n">
        <f aca="false">SUM(G5:G11)</f>
        <v>9210150</v>
      </c>
    </row>
    <row r="15" customFormat="false" ht="15" hidden="false" customHeight="false" outlineLevel="0" collapsed="false">
      <c r="A15" s="3" t="s">
        <v>103</v>
      </c>
    </row>
    <row r="16" customFormat="false" ht="15" hidden="false" customHeight="false" outlineLevel="0" collapsed="false">
      <c r="A16" s="5" t="s">
        <v>104</v>
      </c>
      <c r="B16" s="35" t="n">
        <v>12</v>
      </c>
    </row>
    <row r="17" customFormat="false" ht="15" hidden="false" customHeight="false" outlineLevel="0" collapsed="false">
      <c r="A17" s="5" t="s">
        <v>105</v>
      </c>
      <c r="B17" s="36" t="n">
        <v>15000</v>
      </c>
    </row>
    <row r="19" customFormat="false" ht="15" hidden="false" customHeight="false" outlineLevel="0" collapsed="false">
      <c r="A19" s="37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30" hidden="false" customHeight="true" outlineLevel="0" collapsed="false">
      <c r="A4" s="12" t="s">
        <v>109</v>
      </c>
      <c r="B4" s="12" t="s">
        <v>110</v>
      </c>
      <c r="C4" s="12" t="s">
        <v>111</v>
      </c>
    </row>
    <row r="5" customFormat="false" ht="15" hidden="false" customHeight="false" outlineLevel="0" collapsed="false">
      <c r="A5" s="38" t="s">
        <v>112</v>
      </c>
      <c r="B5" s="39" t="n">
        <v>24226800000</v>
      </c>
      <c r="C5" s="40" t="s">
        <v>113</v>
      </c>
    </row>
    <row r="6" customFormat="false" ht="15" hidden="false" customHeight="false" outlineLevel="0" collapsed="false">
      <c r="A6" s="38" t="s">
        <v>114</v>
      </c>
      <c r="B6" s="39" t="n">
        <v>7368360000</v>
      </c>
      <c r="C6" s="40" t="s">
        <v>115</v>
      </c>
    </row>
    <row r="7" customFormat="false" ht="15" hidden="false" customHeight="false" outlineLevel="0" collapsed="false">
      <c r="A7" s="38" t="s">
        <v>116</v>
      </c>
      <c r="B7" s="39" t="n">
        <v>500000000</v>
      </c>
      <c r="C7" s="41" t="s">
        <v>117</v>
      </c>
    </row>
    <row r="8" customFormat="false" ht="15" hidden="false" customHeight="false" outlineLevel="0" collapsed="false">
      <c r="A8" s="18" t="s">
        <v>118</v>
      </c>
      <c r="B8" s="42" t="n">
        <f aca="false">SUM(B5:B7)</f>
        <v>32095160000</v>
      </c>
      <c r="C8" s="4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2026-08-03T03:40:05Z</dcterms:created>
  <dc:creator>openpyxl</dc:creator>
  <dc:description/>
  <dc:language>en-US</dc:language>
  <cp:lastModifiedBy/>
  <dcterms:modified xsi:type="dcterms:W3CDTF">2026-08-03T03:40:05Z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