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입요령" state="visible" r:id="rId4"/>
    <sheet sheetId="2" name="렌트롤" state="visible" r:id="rId5"/>
    <sheet sheetId="3" name="자동검증" state="visible" r:id="rId6"/>
    <sheet sheetId="4" name="컬럼정의" state="visible" r:id="rId7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12" authorId="0">
      <text>
        <r>
          <rPr>
            <sz val="9"/>
            <rFont val="맑은 고딕"/>
          </rPr>
          <t>[R1·필수] 원본 표기 그대로. 한 층에 둘이면 행을 나눕니다.</t>
        </r>
      </text>
    </comment>
    <comment ref="B12" authorId="0">
      <text>
        <r>
          <rPr>
            <sz val="9"/>
            <rFont val="맑은 고딕"/>
          </rPr>
          <t>[R2·조건부] 통합계약(한 계약서로 여러 호실)일 때만 같은 이름. 금액은 대표 행에만.</t>
        </r>
      </text>
    </comment>
    <comment ref="C12" authorId="0">
      <text>
        <r>
          <rPr>
            <sz val="9"/>
            <rFont val="맑은 고딕"/>
          </rPr>
          <t>[R2·권장] 계약면적(전용+공용분담). ㎡로 입력. 평 환산은 Q열이 자동 계산.</t>
        </r>
      </text>
    </comment>
    <comment ref="D12" authorId="0">
      <text>
        <r>
          <rPr>
            <sz val="9"/>
            <rFont val="맑은 고딕"/>
          </rPr>
          <t>[R2*·권장] 임차인 독점 사용면적. 임대면적 이하. 전용률(S열)이 자동 계산됩니다.</t>
        </r>
      </text>
    </comment>
    <comment ref="E12" authorId="0">
      <text>
        <r>
          <rPr>
            <sz val="9"/>
            <rFont val="맑은 고딕"/>
          </rPr>
          <t>[R1·필수] 원문 그대로. 추측 금지. 공실이면 '공실'.</t>
        </r>
      </text>
    </comment>
    <comment ref="F12" authorId="0">
      <text>
        <r>
          <rPr>
            <sz val="9"/>
            <rFont val="맑은 고딕"/>
          </rPr>
          <t>[R2·권장] 상가/주택/미확인. 주거용 오피스텔=주택.</t>
        </r>
      </text>
    </comment>
    <comment ref="G12" authorId="0">
      <text>
        <r>
          <rPr>
            <sz val="9"/>
            <rFont val="맑은 고딕"/>
          </rPr>
          <t>[R1·필수] 원 단위 숫자만. 5,000만원 → 50000000</t>
        </r>
      </text>
    </comment>
    <comment ref="H12" authorId="0">
      <text>
        <r>
          <rPr>
            <sz val="9"/>
            <rFont val="맑은 고딕"/>
          </rPr>
          <t>[R1·필수] 월 임대료(VAT·관리비 제외). 원 단위.</t>
        </r>
      </text>
    </comment>
    <comment ref="I12" authorId="0">
      <text>
        <r>
          <rPr>
            <sz val="9"/>
            <rFont val="맑은 고딕"/>
          </rPr>
          <t>[R2·권장] 월 관리비 청구액. 원 단위.</t>
        </r>
      </text>
    </comment>
    <comment ref="J12" authorId="0">
      <text>
        <r>
          <rPr>
            <sz val="9"/>
            <rFont val="맑은 고딕"/>
          </rPr>
          <t>[R3·상가] 처음 입주한 날. 갱신요구권 10년 기산일.</t>
        </r>
      </text>
    </comment>
    <comment ref="K12" authorId="0">
      <text>
        <r>
          <rPr>
            <sz val="9"/>
            <rFont val="맑은 고딕"/>
          </rPr>
          <t>[R2·권장] 현재 계약의 시작일.</t>
        </r>
      </text>
    </comment>
    <comment ref="L12" authorId="0">
      <text>
        <r>
          <rPr>
            <sz val="9"/>
            <rFont val="맑은 고딕"/>
          </rPr>
          <t>[R1·필수(임대중)] 현재 계약 만료일. 만기·WALE 기준.</t>
        </r>
      </text>
    </comment>
    <comment ref="M12" authorId="0">
      <text>
        <r>
          <rPr>
            <sz val="9"/>
            <rFont val="맑은 고딕"/>
          </rPr>
          <t>[R3·주택] 있음/없음/모름. 묵시적 갱신=없음.</t>
        </r>
      </text>
    </comment>
    <comment ref="N12" authorId="0">
      <text>
        <r>
          <rPr>
            <sz val="9"/>
            <rFont val="맑은 고딕"/>
          </rPr>
          <t>[R3] 사업자등록/주민등록/미확인.</t>
        </r>
      </text>
    </comment>
    <comment ref="O12" authorId="0">
      <text>
        <r>
          <rPr>
            <sz val="9"/>
            <rFont val="맑은 고딕"/>
          </rPr>
          <t>[R1·필수] 임대중/공실/자가사용. 자가사용≠공실.</t>
        </r>
      </text>
    </comment>
    <comment ref="P12" authorId="0">
      <text>
        <r>
          <rPr>
            <sz val="9"/>
            <rFont val="맑은 고딕"/>
          </rPr>
          <t>[선택] 특이사항.</t>
        </r>
      </text>
    </comment>
    <comment ref="Q12" authorId="0">
      <text>
        <r>
          <rPr>
            <sz val="9"/>
            <rFont val="맑은 고딕"/>
          </rPr>
          <t>[자동] 임대면적 ÷ 3.305785</t>
        </r>
      </text>
    </comment>
    <comment ref="R12" authorId="0">
      <text>
        <r>
          <rPr>
            <sz val="9"/>
            <rFont val="맑은 고딕"/>
          </rPr>
          <t>[자동] 전용면적 ÷ 3.305785</t>
        </r>
      </text>
    </comment>
    <comment ref="S12" authorId="0">
      <text>
        <r>
          <rPr>
            <sz val="9"/>
            <rFont val="맑은 고딕"/>
          </rPr>
          <t>[자동] 전용면적 ÷ 임대면적 × 100</t>
        </r>
      </text>
    </comment>
    <comment ref="T12" authorId="0">
      <text>
        <r>
          <rPr>
            <sz val="9"/>
            <rFont val="맑은 고딕"/>
          </rPr>
          <t>[자동] 보증금 + 월세×100 (상가·임대중)</t>
        </r>
      </text>
    </comment>
    <comment ref="U12" authorId="0">
      <text>
        <r>
          <rPr>
            <sz val="9"/>
            <rFont val="맑은 고딕"/>
          </rPr>
          <t>[자동] 환산보증금 ≤ 지역기준(C7)이면 ○</t>
        </r>
      </text>
    </comment>
    <comment ref="V12" authorId="0">
      <text>
        <r>
          <rPr>
            <sz val="9"/>
            <rFont val="맑은 고딕"/>
          </rPr>
          <t>[자동] 상가=10년−경과, 주택=행사이력 기준</t>
        </r>
      </text>
    </comment>
    <comment ref="W12" authorId="0">
      <text>
        <r>
          <rPr>
            <sz val="9"/>
            <rFont val="맑은 고딕"/>
          </rPr>
          <t>[자동] 평가기준일 vs 만료일. 30일 이내=임박</t>
        </r>
      </text>
    </comment>
    <comment ref="X12" authorId="0">
      <text>
        <r>
          <rPr>
            <sz val="9"/>
            <rFont val="맑은 고딕"/>
          </rPr>
          <t>[자동] 월세 + 관리비 (임대중)</t>
        </r>
      </text>
    </comment>
    <comment ref="Y12" authorId="0">
      <text>
        <r>
          <rPr>
            <sz val="9"/>
            <rFont val="맑은 고딕"/>
          </rPr>
          <t>[자동] (월세+관리비) ÷ 전용면적(평)</t>
        </r>
      </text>
    </comment>
  </commentList>
</comments>
</file>

<file path=xl/sharedStrings.xml><?xml version="1.0" encoding="utf-8"?>
<sst xmlns="http://schemas.openxmlformats.org/spreadsheetml/2006/main" count="497" uniqueCount="364">
  <si>
    <t>CREDEAL 렌트롤 표준 양식 v1.3 — 기입요령</t>
  </si>
  <si>
    <t>모바일 IM 업로드용 표준 양식입니다. 「렌트롤」 시트의 노란색 셀만 입력하세요. (1행 = 1호실, 최대 100호실)</t>
  </si>
  <si>
    <t>계약그룹이란? — 한 임차인이 한 계약서로 여러 호실·층을 쓰는 경우 (통합계약)</t>
  </si>
  <si>
    <t>뜻</t>
  </si>
  <si>
    <t>하나의 임대차계약서로 한 임차인이 여러 호실(예: 1F+2F)을 쓸 때, 그 호실들을 한 묶음으로 표시하는 이름표입니다. 호실마다 따로 계약했다면 비워 두세요.</t>
  </si>
  <si>
    <t>쓰는 법</t>
  </si>
  <si>
    <t>같은 계약에 속한 호실에는 같은 이름(A, B, 1 …)을 적습니다. 이름은 자유이며, 서로 다른 계약은 다른 이름으로 구분합니다.</t>
  </si>
  <si>
    <t>금액은 대표 행에만</t>
  </si>
  <si>
    <t>보증금·월세·관리비는 묶음 중 한 행(대표 행)에만 적고 나머지 행은 비웁니다. 면적(임대·전용)·호실/층·업종/상호·임대상태·만료일은 행마다 적습니다.</t>
  </si>
  <si>
    <t>예시 (설명용)</t>
  </si>
  <si>
    <t xml:space="preserve">1F │ 그룹 A │ 임대 100㎡ │ ○○카페 │ 보증금·월세 입력   ← 대표 행
2F │ 그룹 A │ 임대  80㎡ │ ○○카페 │ 보증금·월세 비움   ← 같은 계약
3F │ (비움) │ 임대  90㎡ │ △△법무법인 │ 보증금·월세 입력  ← 단독 계약</t>
  </si>
  <si>
    <t>왜 필요한가</t>
  </si>
  <si>
    <t>금액을 층마다 쪼개 적으면 한 계약이 여러 건으로 집계되고 환산보증금(상가법 적용 판정)이 쪼개져 틀어집니다. 대표 행에만 적으면 합계·환산보증금이 계약 1건으로 계산됩니다.</t>
  </si>
  <si>
    <t>IM에서의 표기</t>
  </si>
  <si>
    <t>IM 렌트롤 표에서 같은 그룹의 금액 빈 행은 보증금·월임대료·관리비·월합계가 「〃」(위와 동일 계약)로 표시되고, 합계에는 대표 행 금액만 더해집니다. 계약그룹은 업로드 후 원장(lease_ledger)에도 저장됩니다.</t>
  </si>
  <si>
    <t>색상 규칙</t>
  </si>
  <si>
    <t>노란색</t>
  </si>
  <si>
    <t>입력 셀 — 여기만 채웁니다.</t>
  </si>
  <si>
    <t>회색</t>
  </si>
  <si>
    <t>자동계산 — 수식이 들어 있으니 건드리지 마세요.</t>
  </si>
  <si>
    <t>파랑/주황/분홍 (11행)</t>
  </si>
  <si>
    <t>해상도 표시: 주황=R1 발행 최소선 · 파랑=R2 분석 가능 · 분홍=R3 정밀 실사. 자세한 정의는 「컬럼정의」 시트.</t>
  </si>
  <si>
    <t>해상도(R1·R2·R3) — 채울수록 열리는 기능이 늘어납니다</t>
  </si>
  <si>
    <t>R1 최소형</t>
  </si>
  <si>
    <t>호실·업종·보증금·월세·만료일·임대상태 → 렌트롤 표 · 만료 타임라인 · 총액 수익률</t>
  </si>
  <si>
    <t>R2 필요형</t>
  </si>
  <si>
    <t>R1 + 임대면적·적용법령·관리비 → 평당 단가 · 층별 단가 · 환산보증금 · 상임법 판정</t>
  </si>
  <si>
    <t>R3 표준형</t>
  </si>
  <si>
    <t>R2 + 최초 계약일·대항력 → 갱신요구권 · 명도 계획 · 임대료 정상화 시뮬</t>
  </si>
  <si>
    <t>면적 보강 (등급 무관)</t>
  </si>
  <si>
    <t>전 호실 전용면적 입력(전용 ≤ 임대) → 전용률 · 전용평당 월비용(NOC)</t>
  </si>
  <si>
    <t>면적 3종 — 임대면적 · 전용면적 · 전용률</t>
  </si>
  <si>
    <t>임대면적 (C열)</t>
  </si>
  <si>
    <t>임대차계약서에 적힌 계약면적(㎡). 전용면적 + 공용면적 분담분입니다. 임대료 평당 단가·공실률의 분모이며, 공실·자가사용 호실도 적습니다.</t>
  </si>
  <si>
    <t>전용면적 (D열)</t>
  </si>
  <si>
    <t>임차인이 독점해 사용하는 면적(㎡). 건축물대장 전유부 면적과 대조하세요. 임대면적보다 클 수 없습니다.</t>
  </si>
  <si>
    <t>전용률 (S열, 자동)</t>
  </si>
  <si>
    <t>전용면적 ÷ 임대면적 × 100. 직접 입력하지 마세요. 합계 행(10행)의 전용률은 평균이 아니라 Σ전용 ÷ Σ임대(두 면적이 모두 있는 호실만)입니다.</t>
  </si>
  <si>
    <t>단위</t>
  </si>
  <si>
    <t>면적은 ㎡로만 입력합니다. 평 환산은 Q·R열이 자동 계산합니다. 평으로 적으면 면적이 3.3배 어긋납니다.</t>
  </si>
  <si>
    <t>IM 표 표기</t>
  </si>
  <si>
    <t>IM 렌트롤 표에는 입력한 면적만 나옵니다. 임대·전용면적을 모두 적으면 두 열, 하나만 적으면 그 열 하나만 표시합니다. 한 면적을 다른 면적 값으로 대신 채우지 않고, 비워 둔 호실은 「-」로 표시합니다.</t>
  </si>
  <si>
    <t>전용면적을 모를 때</t>
  </si>
  <si>
    <t>임대면적만 입력해도 업로드됩니다. 전용률·전용평당 월비용만 보류되고 IM 표에는 임대면적 열만 나옵니다 (「자동검증」에 미기재 호실 수가 표시됩니다).</t>
  </si>
  <si>
    <t>반드시 채워야 하는 항목 (R1)</t>
  </si>
  <si>
    <t>호실/층</t>
  </si>
  <si>
    <t>원본 표기 그대로. 「9F(1)」처럼 한 층에 둘이면 행을 나눠 적습니다.</t>
  </si>
  <si>
    <t>업종/상호 (원문)</t>
  </si>
  <si>
    <t>⚠ 계약서·렌트롤에 적힌 문구를 그대로 옮깁니다. 「사무실」이면 「사무실」입니다. 업종을 추측해 바꾸지 마세요.</t>
  </si>
  <si>
    <t>임대상태</t>
  </si>
  <si>
    <t>임대중 / 공실 / 자가사용. 소유자가 직접 쓰는 층은 「자가사용」 — 공실이 아니지만 임대수입도 없습니다.</t>
  </si>
  <si>
    <t>보증금·월세·관리비</t>
  </si>
  <si>
    <t>원 단위 숫자만. VAT 별도. 「5,000만」처럼 적지 마세요 (5,000만원 → 50000000).</t>
  </si>
  <si>
    <t>현 계약 만료일</t>
  </si>
  <si>
    <t>명도 시점·만기 스케줄 산출의 기준입니다. 날짜 형식은 YYYY-MM-DD.</t>
  </si>
  <si>
    <t>비면 판정이 보류되는 항목 (R2·R3)</t>
  </si>
  <si>
    <t>적용법령 (R2)</t>
  </si>
  <si>
    <t>상가 / 주택 / 미확인. 주거로 쓰는 오피스텔은 「주택」입니다. 이 값에 따라 갱신요구권 계산이 완전히 달라집니다.</t>
  </si>
  <si>
    <t>최초 계약일 (R3)</t>
  </si>
  <si>
    <t>이 임차인이 처음 입주한 날. 현 계약 시작일과 다릅니다. ★ 상가 갱신요구권 10년은 이 날짜로 기산합니다. 비면 「확인 필요」로 출력됩니다.</t>
  </si>
  <si>
    <t>갱신요구권 행사 (R3)</t>
  </si>
  <si>
    <t>있음 / 없음 / 모름. ★ 주택은 1회 한정이라 이 값 없이는 계산할 수 없습니다. 묵시적 갱신은 「없음」입니다 — 갱신요구권을 쓴 것이 아닙니다.</t>
  </si>
  <si>
    <t>대항력 요건 (R3)</t>
  </si>
  <si>
    <t>사업자등록 / 주민등록 / 미확인. 근거 없이 「없음」으로 적으면 발행이 막힙니다.</t>
  </si>
  <si>
    <t>자주 나는 실수</t>
  </si>
  <si>
    <t>업종 추측</t>
  </si>
  <si>
    <t>「사무실」을 「IT스타트업」으로 바꿔 적는 경우. 실제로 있었던 오류입니다.</t>
  </si>
  <si>
    <t>면적 혼동</t>
  </si>
  <si>
    <t>전용면적을 임대면적 칸에 적거나 평 단위를 그대로 적는 경우. 전용률이 100%를 넘으면(빨간색) 두 칸이 바뀌었는지 확인하세요.</t>
  </si>
  <si>
    <t>경과년수로 갱신권 역산</t>
  </si>
  <si>
    <t>주택은 최초계약일로 계산할 수 없습니다. 행사 이력이 있어야 합니다.</t>
  </si>
  <si>
    <t>합계를 손으로 입력</t>
  </si>
  <si>
    <t>합계(10행)는 자동입니다. 손으로 적으면 각 행 합과 어긋납니다. 실제로 있었던 오류입니다.</t>
  </si>
  <si>
    <t>자가사용을 공실로</t>
  </si>
  <si>
    <t>자가사용은 임대 전환 여력이지 공실 손실이 아닙니다. 구분해 적으세요.</t>
  </si>
  <si>
    <t>예시 행을 지우지 않음</t>
  </si>
  <si>
    <t>13행의 예시 행은 비고에 「예시 행」 문구가 있어 업로드에서 자동 제외되지만, 보기 혼란을 막기 위해 지우고 쓰세요.</t>
  </si>
  <si>
    <t>업로드 (CREDEAL 바텀시트)</t>
  </si>
  <si>
    <t>지원 포맷</t>
  </si>
  <si>
    <t>.xlsx, .xls, .csv — 시스템이 「렌트롤」 시트를 자동으로 찾습니다.</t>
  </si>
  <si>
    <t>자동 처리</t>
  </si>
  <si>
    <t>제목행·주소행이 위에 있어도 건너뜁니다. 합계/소계 행·빈 행·예시 행은 제외합니다. 금액은 머리글의 단위(원/만원)를 읽고 만원으로 변환합니다.</t>
  </si>
  <si>
    <t>면적 반영</t>
  </si>
  <si>
    <t>임대면적 → area_sqm, 전용면적 → exclusive_area_sqm, 전용률 → 두 면적으로 재계산합니다 (입력값과 1%p 넘게 다르면 경고).</t>
  </si>
  <si>
    <t>원장 저장</t>
  </si>
  <si>
    <t>계약그룹·적용법령·최초 계약일·갱신요구권 행사·대항력 요건은 렌트롤 표에는 그리지 않지만 업로드 후 원장(lease_ledger)에 저장됩니다. 드롭다운 값 외의 문구는 저장되지 않습니다.</t>
  </si>
  <si>
    <t>문의: support@credeal.co.kr</t>
  </si>
  <si>
    <t>CREDEAL 렌트롤 표준 양식 v1.3</t>
  </si>
  <si>
    <t>노란색 셀만 입력 · 회색은 자동계산 · 1행=1호실 · 면적 ㎡ · 금액 원(VAT 별도) · 11행 R1/R2/R3 = 해상도(자세한 설명은 「컬럼정의」 시트)</t>
  </si>
  <si>
    <t>물건명</t>
  </si>
  <si>
    <t>⚠ 렌트롤 기준일이 비면 신선도 판정을 할 수 없습니다</t>
  </si>
  <si>
    <t>소재지</t>
  </si>
  <si>
    <t>※ 환산보증금: 서울 9억 · 과밀억제권역 6.9억 · 광역시 5.4억 · 그 밖 3.7억</t>
  </si>
  <si>
    <t>렌트롤 기준일</t>
  </si>
  <si>
    <t>평가 기준일</t>
  </si>
  <si>
    <t>기본값 =TODAY(). 과거 시점 기준으로 평가하려면 날짜를 직접 입력하세요.</t>
  </si>
  <si>
    <t>환산보증금 지역기준(원)</t>
  </si>
  <si>
    <t>지역에 맞게 수정 (서울 900,000,000)</t>
  </si>
  <si>
    <t>작성자</t>
  </si>
  <si>
    <t>작성일</t>
  </si>
  <si>
    <t>합계 (자동)</t>
  </si>
  <si>
    <t>R1</t>
  </si>
  <si>
    <t>R2</t>
  </si>
  <si>
    <t>R2*</t>
  </si>
  <si>
    <t>R3</t>
  </si>
  <si>
    <t>—</t>
  </si>
  <si>
    <t>자동</t>
  </si>
  <si>
    <t>계약그룹</t>
  </si>
  <si>
    <t>임대면적(㎡)</t>
  </si>
  <si>
    <t>전용면적(㎡)</t>
  </si>
  <si>
    <t>적용법령</t>
  </si>
  <si>
    <t>보증금(원)</t>
  </si>
  <si>
    <t>월세(원,VAT별도)</t>
  </si>
  <si>
    <t>관리비(원,VAT별도)</t>
  </si>
  <si>
    <t>최초 계약일</t>
  </si>
  <si>
    <t>현 계약 시작일</t>
  </si>
  <si>
    <t>갱신요구권 행사</t>
  </si>
  <si>
    <t>대항력 요건</t>
  </si>
  <si>
    <t>비고</t>
  </si>
  <si>
    <t>임대면적(평)</t>
  </si>
  <si>
    <t>전용면적(평)</t>
  </si>
  <si>
    <t>전용률(%)</t>
  </si>
  <si>
    <t>환산보증금(자동)</t>
  </si>
  <si>
    <t>상임법 전면적용</t>
  </si>
  <si>
    <t>갱신권 잔여(자동)</t>
  </si>
  <si>
    <t>계약 상태(자동)</t>
  </si>
  <si>
    <t>월 총수입(자동)</t>
  </si>
  <si>
    <t>전용평당 월비용(자동)</t>
  </si>
  <si>
    <t>3F</t>
  </si>
  <si>
    <t>사무실</t>
  </si>
  <si>
    <t>상가</t>
  </si>
  <si>
    <t>모름</t>
  </si>
  <si>
    <t>사업자등록</t>
  </si>
  <si>
    <t>임대중</t>
  </si>
  <si>
    <t>← 예시 행입니다. 지우고 쓰세요</t>
  </si>
  <si>
    <t>자동 검증 — 발행 전 확인</t>
  </si>
  <si>
    <t>#</t>
  </si>
  <si>
    <t>검증 항목</t>
  </si>
  <si>
    <t>결과</t>
  </si>
  <si>
    <t>판정 기준</t>
  </si>
  <si>
    <t>G19</t>
  </si>
  <si>
    <t>렌트롤 월세 합계 (정본)</t>
  </si>
  <si>
    <t>표지 요약과 다르면 발행 차단. 이 표가 정본입니다.</t>
  </si>
  <si>
    <t>C19</t>
  </si>
  <si>
    <t>임대면적 합계</t>
  </si>
  <si>
    <t>건축물대장 연면적과 대조. 불일치 시 원인 규명 전까지 발행 보류.</t>
  </si>
  <si>
    <t>C19-E</t>
  </si>
  <si>
    <t>전용면적 합계</t>
  </si>
  <si>
    <t>건축물대장 전유면적 합계와 0.5% 이내 일치해야 합니다 (A01 경고 기준).</t>
  </si>
  <si>
    <t>C19-R</t>
  </si>
  <si>
    <t>가중 전용률</t>
  </si>
  <si>
    <t>Σ전용면적 ÷ Σ임대면적 (두 면적이 모두 있는 호실만). 호실별 전용률의 단순 평균이 아닙니다.</t>
  </si>
  <si>
    <t>C19-M</t>
  </si>
  <si>
    <t>임대면적 미기재 호실</t>
  </si>
  <si>
    <t>1건 이상이면 R2 미달 — 평당 단가·면적 공실률 산출 불가.</t>
  </si>
  <si>
    <t>C19-X</t>
  </si>
  <si>
    <t>전용면적 미기재 호실</t>
  </si>
  <si>
    <t>1건 이상이면 전용률·전용평당 월비용 보류. (공실 호실 포함)</t>
  </si>
  <si>
    <t>C19-V</t>
  </si>
  <si>
    <t>전용률 이상치</t>
  </si>
  <si>
    <t>100% 초과 = 전용면적이 임대면적보다 큰 입력 오류(발행 보류). 30% 미만 = 면적 기재 오류 의심.</t>
  </si>
  <si>
    <t>F11</t>
  </si>
  <si>
    <t>만료 계약 수</t>
  </si>
  <si>
    <t>1건 이상이면 호실별 경고.</t>
  </si>
  <si>
    <t>F12</t>
  </si>
  <si>
    <t>만료 비율 50% 초과</t>
  </si>
  <si>
    <t>절반 초과 시 렌트롤 갱신 전까지 발행 불가.</t>
  </si>
  <si>
    <t>F13</t>
  </si>
  <si>
    <t>30일 내 만료 임박</t>
  </si>
  <si>
    <t>재계약 조건이 딜 구조를 바꿉니다. 협의 상태 확인 필요.</t>
  </si>
  <si>
    <t>G18</t>
  </si>
  <si>
    <t>갱신권 판정 보류</t>
  </si>
  <si>
    <t>최초계약일(상가)·행사이력(주택) 누락. 숫자 대신 "확인 필요" 출력.</t>
  </si>
  <si>
    <t>G13</t>
  </si>
  <si>
    <t>대항력 미확인</t>
  </si>
  <si>
    <t>근거 없이 "없음" 표기 시 발행 차단.</t>
  </si>
  <si>
    <t>G17</t>
  </si>
  <si>
    <t>업종 미기재</t>
  </si>
  <si>
    <t>비면 "미상"으로 출력. 추론 금지.</t>
  </si>
  <si>
    <t>T-C</t>
  </si>
  <si>
    <t>환산보증금 초과 호실</t>
  </si>
  <si>
    <t>초과 시 5% 인상상한·우선변제권 미적용. 갱신요구권은 적용됨.</t>
  </si>
  <si>
    <t>F01</t>
  </si>
  <si>
    <t>없으면 신선도 판정 불가.</t>
  </si>
  <si>
    <t>C21</t>
  </si>
  <si>
    <t>공실 / 자가사용</t>
  </si>
  <si>
    <t>자가사용은 임대 전환 여력. 공실 손실과 구분합니다.</t>
  </si>
  <si>
    <t>해상도 판정 — 이 렌트롤로 무엇을 만들 수 있나</t>
  </si>
  <si>
    <t>등급</t>
  </si>
  <si>
    <t>요건</t>
  </si>
  <si>
    <t>충족</t>
  </si>
  <si>
    <t>열리는 기능</t>
  </si>
  <si>
    <t>호실·업종·월세·만료일·임대상태 (임대중 호실 전부)</t>
  </si>
  <si>
    <t>렌트롤 표 · 만료 타임라인 · 총액 수익률</t>
  </si>
  <si>
    <t>R1 + 임대면적(전 호실)·적용법령(전 호실)·관리비(임대중)</t>
  </si>
  <si>
    <t>평당 단가 · 층별 단가 · 환산보증금 · 상임법 판정</t>
  </si>
  <si>
    <t>R2 + 최초계약일·대항력 (임대중 호실 전부, '미확인' 불가)</t>
  </si>
  <si>
    <t>갱신요구권 · 명도 계획 · 임대료 정상화 시뮬</t>
  </si>
  <si>
    <t>면적 보강</t>
  </si>
  <si>
    <t>전 호실 임대면적·전용면적 입력, 전용률 100% 이하 (등급 무관)</t>
  </si>
  <si>
    <t>전용률 · 전용평당 월비용(NOC)</t>
  </si>
  <si>
    <t>현재 해상도</t>
  </si>
  <si>
    <t>다음 한 칸</t>
  </si>
  <si>
    <t>※ 이 시트는 참고용입니다. 시스템은 '렌트롤' 시트를 자동으로 읽습니다.</t>
  </si>
  <si>
    <t>컬럼 정의 — R1 / R2 / R3 해상도별 입력 항목과 설명</t>
  </si>
  <si>
    <t>해상도 = 이 렌트롤로 만들 수 있는 분석의 깊이. 판정 로직: src/domain/building/mobile-im/lease-math.ts resolveLedger(). R0은 R1 요건 미달.</t>
  </si>
  <si>
    <t>열</t>
  </si>
  <si>
    <t>컬럼명</t>
  </si>
  <si>
    <t>해상도</t>
  </si>
  <si>
    <t>필수도</t>
  </si>
  <si>
    <t>입력 방식 · 단위</t>
  </si>
  <si>
    <t>설명</t>
  </si>
  <si>
    <t>업로드 반영 필드</t>
  </si>
  <si>
    <t>도메인 필드 (LeaseRow)</t>
  </si>
  <si>
    <t>비었을 때 영향</t>
  </si>
  <si>
    <t>A</t>
  </si>
  <si>
    <t>필수</t>
  </si>
  <si>
    <t>텍스트</t>
  </si>
  <si>
    <t>원본 표기 그대로 (예: B1, 1F, 101호). 한 층에 호실이 둘이면 행을 나눠 적습니다.</t>
  </si>
  <si>
    <t>floor</t>
  </si>
  <si>
    <t>unitLabel</t>
  </si>
  <si>
    <t>행 식별 불가 — 층 라벨이 'N F'로 대체됩니다.</t>
  </si>
  <si>
    <t>B</t>
  </si>
  <si>
    <t>조건부</t>
  </si>
  <si>
    <t>통합계약 표시. 한 임차인이 한 계약서로 여러 호실·층을 쓸 때, 그 호실들에 같은 이름(A, B, 1…)을 적습니다. 보증금·월세·관리비는 대표 행 한 곳에만 적고 나머지 행은 비웁니다(면적·만료일 등은 행마다 적음). 호실별로 따로 계약했다면 비워 두세요.</t>
  </si>
  <si>
    <t>contract_group</t>
  </si>
  <si>
    <t>contractGroup</t>
  </si>
  <si>
    <t>통합계약 금액 중복 집계 위험(대표 행 외 금액을 비워 두면 영향 없음). 비우면 호실마다 별개 계약으로 취급됩니다.</t>
  </si>
  <si>
    <t>C</t>
  </si>
  <si>
    <t>권장</t>
  </si>
  <si>
    <t>㎡ (소수 2자리)</t>
  </si>
  <si>
    <t>임대차계약서상 계약면적 = 전용면적 + 공용면적 분담분. 임대료 평당 단가·면적 기준 공실률의 분모입니다. 공실·자가사용 호실도 적습니다.</t>
  </si>
  <si>
    <t>area_sqm</t>
  </si>
  <si>
    <t>leaseAreaSqm</t>
  </si>
  <si>
    <t>R2 미달 — 평당 임대단가·면적 공실률·임대료 정상화 산출 불가.</t>
  </si>
  <si>
    <t>D</t>
  </si>
  <si>
    <t>임차인이 독점해 사용하는 면적(건축물대장 전유부 기준). 임대면적보다 클 수 없습니다. 전용률과 전용평당 월비용의 분모입니다. (* 등급 판정에는 영향 없는 보강 항목)</t>
  </si>
  <si>
    <t>exclusive_area_sqm</t>
  </si>
  <si>
    <t>exclusiveAreaSqm</t>
  </si>
  <si>
    <t>전용률·전용평당 월비용 보류. IM 렌트롤 표에서 전용면적 열이 빠지고 임대면적만 표기됩니다(다른 면적 값으로 대신 채우지 않음).</t>
  </si>
  <si>
    <t>E</t>
  </si>
  <si>
    <t>계약서·렌트롤에 적힌 문구를 그대로 옮깁니다. 업종을 추측해 바꾸지 마세요. 공실이면 '공실'.</t>
  </si>
  <si>
    <t>tenant_type · tenant_name</t>
  </si>
  <si>
    <t>tenantBusiness</t>
  </si>
  <si>
    <t>R1 미달 — 렌트롤 표를 그릴 수 없고, 임대상태 미기재 시 공실로 추정됩니다.</t>
  </si>
  <si>
    <t>F</t>
  </si>
  <si>
    <t>드롭다운 상가/주택/미확인</t>
  </si>
  <si>
    <t>상가 / 주택 / 미확인. 주거로 쓰는 오피스텔은 '주택'. 갱신요구권 산식이 완전히 달라집니다.</t>
  </si>
  <si>
    <t>legal_basis</t>
  </si>
  <si>
    <t>legalBasis</t>
  </si>
  <si>
    <t>R2 미달 — 환산보증금·상임법 판정·갱신권 잔여 '확인 필요'.</t>
  </si>
  <si>
    <t>G</t>
  </si>
  <si>
    <t>원 (VAT 별도)</t>
  </si>
  <si>
    <t>원 단위 숫자만. '5,000만'처럼 적지 마세요 (5,000만원 → 50000000).</t>
  </si>
  <si>
    <t>deposit_manwon (÷10,000)</t>
  </si>
  <si>
    <t>depositKrw</t>
  </si>
  <si>
    <t>R1 미달 — 보증금 합계·환산보증금 산출 불가.</t>
  </si>
  <si>
    <t>H</t>
  </si>
  <si>
    <t>월 임대료. VAT·관리비 제외. 원 단위 숫자만.</t>
  </si>
  <si>
    <t>rent_manwon (÷10,000)</t>
  </si>
  <si>
    <t>monthlyRentKrw</t>
  </si>
  <si>
    <t>R1 미달 — 임대수입·수익률(Gross Yield) 산출 불가.</t>
  </si>
  <si>
    <t>I</t>
  </si>
  <si>
    <t>월 관리비 청구액. 원 단위 숫자만.</t>
  </si>
  <si>
    <t>mgmt_fee_manwon (÷10,000)</t>
  </si>
  <si>
    <t>mgmtFeeKrw</t>
  </si>
  <si>
    <t>R2 미달 — 월합계·관리비 포함 비용·NOI 계열 지표 보류.</t>
  </si>
  <si>
    <t>J</t>
  </si>
  <si>
    <t>날짜 YYYY-MM-DD</t>
  </si>
  <si>
    <t>이 임차인이 처음 입주한 날 (현 계약 시작일과 다릅니다). 상가 갱신요구권 10년은 이 날짜로 기산합니다.</t>
  </si>
  <si>
    <t>first_contract_date</t>
  </si>
  <si>
    <t>firstContractDate</t>
  </si>
  <si>
    <t>R3 미달 — 상가 갱신권 잔여 '확인 필요', 명도 시점 산출 불가.</t>
  </si>
  <si>
    <t>K</t>
  </si>
  <si>
    <t>현재 유효한 계약의 시작일.</t>
  </si>
  <si>
    <t>lease_start</t>
  </si>
  <si>
    <t>currentStartDate</t>
  </si>
  <si>
    <t>계약 기간 계산(경과 기간) 보류. 등급 판정에는 영향 없음.</t>
  </si>
  <si>
    <t>L</t>
  </si>
  <si>
    <t>현재 계약의 만료일. 명도 시점·만기 스케줄·WALE 산출의 기준입니다. 임대중 호실은 필수.</t>
  </si>
  <si>
    <t>lease_end</t>
  </si>
  <si>
    <t>currentExpiryDate</t>
  </si>
  <si>
    <t>R1 미달 — 만기 타임라인·WALE 산출 불가.</t>
  </si>
  <si>
    <t>M</t>
  </si>
  <si>
    <t>드롭다운 있음/없음/모름</t>
  </si>
  <si>
    <t>있음 / 없음 / 모름. 주택은 1회 한정이라 이 값 없이는 계산할 수 없습니다. 묵시적 갱신은 '없음'입니다.</t>
  </si>
  <si>
    <t>renewal_exercised</t>
  </si>
  <si>
    <t>renewalExercised</t>
  </si>
  <si>
    <t>R3 미달 — 주택 갱신권 판정 '확인 필요'.</t>
  </si>
  <si>
    <t>N</t>
  </si>
  <si>
    <t>드롭다운 사업자등록/주민등록/미확인</t>
  </si>
  <si>
    <t>사업자등록 / 주민등록 / 미확인. 근거 없이 '없음'으로 적으면 발행이 막힙니다.</t>
  </si>
  <si>
    <t>opposing_power</t>
  </si>
  <si>
    <t>opposingPower</t>
  </si>
  <si>
    <t>R3 미달 — 대항력 미확인으로 집계, 명도 계획 보류.</t>
  </si>
  <si>
    <t>O</t>
  </si>
  <si>
    <t>드롭다운 임대중/공실/자가사용</t>
  </si>
  <si>
    <t>임대중 / 공실 / 자가사용. 소유자가 직접 쓰는 층은 '자가사용' — 공실이 아니지만 임대수입도 없습니다.</t>
  </si>
  <si>
    <t>is_vacant · lease_state · note('자가사용')</t>
  </si>
  <si>
    <t>leaseState</t>
  </si>
  <si>
    <t>R1 미달 — 업종/상호가 비어 있으면 공실로 추정(자가사용 구분 불가).</t>
  </si>
  <si>
    <t>P</t>
  </si>
  <si>
    <t>선택</t>
  </si>
  <si>
    <t>특이사항(앵커테넌트, 렌트프리 등). '← 예시 행' 문구가 있는 행은 업로드에서 자동 제외됩니다.</t>
  </si>
  <si>
    <t>note</t>
  </si>
  <si>
    <t>영향 없음.</t>
  </si>
  <si>
    <t>Q</t>
  </si>
  <si>
    <t>평</t>
  </si>
  <si>
    <t>= 임대면적(㎡) ÷ 3.305785</t>
  </si>
  <si>
    <t>(계산)</t>
  </si>
  <si>
    <t>sqmToPyeong()</t>
  </si>
  <si>
    <t>R</t>
  </si>
  <si>
    <t>= 전용면적(㎡) ÷ 3.305785</t>
  </si>
  <si>
    <t>S</t>
  </si>
  <si>
    <t>%</t>
  </si>
  <si>
    <t>= 전용면적 ÷ 임대면적 × 100. 100% 초과(빨강)는 입력 오류, 30% 미만(주황)은 면적 기재 오류 의심.</t>
  </si>
  <si>
    <t>efficiency_ratio_pct</t>
  </si>
  <si>
    <t>calculateEfficiencyRatio()</t>
  </si>
  <si>
    <t>T</t>
  </si>
  <si>
    <t>원</t>
  </si>
  <si>
    <t>= 보증금 + 월세 × 100. 상가·임대중 행만 계산(주택에는 이 개념이 없음).</t>
  </si>
  <si>
    <t>convertedDeposit()</t>
  </si>
  <si>
    <t>U</t>
  </si>
  <si>
    <t>○/×</t>
  </si>
  <si>
    <t>환산보증금이 지역 기준(C7) 이하이면 ○. 초과하면 5% 인상상한·우선변제권이 적용되지 않습니다(갱신요구권은 적용).</t>
  </si>
  <si>
    <t>isFullyCovered()</t>
  </si>
  <si>
    <t>V</t>
  </si>
  <si>
    <t>년/까지</t>
  </si>
  <si>
    <t>상가 = 10년 − 최초계약일 경과. 주택 = 갱신요구권 행사 이력에 따라 판정. 근거가 없으면 '확인 필요'.</t>
  </si>
  <si>
    <t>vacatePoint()</t>
  </si>
  <si>
    <t>W</t>
  </si>
  <si>
    <t>유효/임박/만료</t>
  </si>
  <si>
    <t>평가 기준일(C6)과 만료일 비교. 30일 이내면 '임박', 지났으면 '만료 +N일'.</t>
  </si>
  <si>
    <t>contractStatus()</t>
  </si>
  <si>
    <t>X</t>
  </si>
  <si>
    <t>= 월세 + 관리비 (임대중 행만).</t>
  </si>
  <si>
    <t>monthlyGross()</t>
  </si>
  <si>
    <t>Y</t>
  </si>
  <si>
    <t>원/전용평</t>
  </si>
  <si>
    <t>= (월세 + 관리비) ÷ 전용면적(평). 임차인이 실제로 쓰는 면적 기준 실질 비용(NOC).</t>
  </si>
  <si>
    <t>calculateNocPerExclusivePyeong()</t>
  </si>
  <si>
    <t>해상도 정의</t>
  </si>
  <si>
    <t>의미</t>
  </si>
  <si>
    <t>필수 입력</t>
  </si>
  <si>
    <t>R0</t>
  </si>
  <si>
    <t>미달</t>
  </si>
  <si>
    <t>임대중 호실의 업종·월세·만료일 누락 등 R1 요건 미충족</t>
  </si>
  <si>
    <t>렌트롤을 발행 수준으로 쓸 수 없음 — 보완 자료 요청</t>
  </si>
  <si>
    <t>발행 최소선</t>
  </si>
  <si>
    <t>호실/층 · 업종/상호 · 보증금 · 월세 · 만료일 · 임대상태</t>
  </si>
  <si>
    <t>분석 가능</t>
  </si>
  <si>
    <t>R1 + 임대면적(전 호실) · 적용법령(전 호실) · 관리비(임대중) · (권장) 전용면적·현 계약 시작일</t>
  </si>
  <si>
    <t>평당 단가 · 층별 단가 · 환산보증금 · 상임법 판정 (전용면적까지 있으면 전용률·전용평당 월비용)</t>
  </si>
  <si>
    <t>정밀 실사</t>
  </si>
  <si>
    <t>R2 + 최초계약일 · 대항력 (갱신요구권 행사는 주택 필수)</t>
  </si>
  <si>
    <t>면적 4분모와 렌트롤 면적의 관계</t>
  </si>
  <si>
    <t>대지면적</t>
  </si>
  <si>
    <t>토지 평당 매각가의 분모. 렌트롤에 입력하지 않음.</t>
  </si>
  <si>
    <t>연면적</t>
  </si>
  <si>
    <t>건축물대장 총 바닥면적. 임대면적 합계와 같지 않음(주차장·기계실 등 제외) — 자동 동일시 금지.</t>
  </si>
  <si>
    <t>임대면적</t>
  </si>
  <si>
    <t>렌트롤 C열. 임대료 단가·공실률의 분모. 임대면적 = 전용면적 + 공용면적 분담분.</t>
  </si>
  <si>
    <t>전용면적</t>
  </si>
  <si>
    <t>렌트롤 D열. 전용률·전용평당 월비용의 분모. 전용률(%) = 전용면적 ÷ 임대면적 ×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</si>
</sst>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"/>
    <numFmt numFmtId="166" formatCode="0.0&quot;%&quot;"/>
  </numFmts>
  <fonts count="18" x14ac:knownFonts="1">
    <font>
      <color theme="1"/>
      <family val="2"/>
      <scheme val="minor"/>
      <sz val="11"/>
      <name val="Calibri"/>
    </font>
    <font>
      <b/>
      <color rgb="FF1F3864"/>
      <sz val="15"/>
      <name val="맑은 고딕"/>
    </font>
    <font>
      <sz val="10"/>
      <name val="맑은 고딕"/>
    </font>
    <font>
      <b/>
      <color rgb="FFFFFFFF"/>
      <sz val="11"/>
      <name val="맑은 고딕"/>
    </font>
    <font>
      <b/>
      <sz val="10"/>
      <name val="맑은 고딕"/>
    </font>
    <font>
      <color rgb="FF7F7F7F"/>
      <sz val="10"/>
      <name val="맑은 고딕"/>
    </font>
    <font>
      <color rgb="FF595959"/>
      <sz val="9"/>
      <name val="맑은 고딕"/>
    </font>
    <font>
      <color rgb="FFC00000"/>
      <sz val="9"/>
      <name val="맑은 고딕"/>
    </font>
    <font>
      <b/>
      <color rgb="FF555555"/>
      <sz val="8"/>
      <name val="맑은 고딕"/>
    </font>
    <font>
      <b/>
      <color rgb="FFFFFFFF"/>
      <sz val="9"/>
      <name val="맑은 고딕"/>
    </font>
    <font>
      <sz val="9"/>
      <name val="맑은 고딕"/>
    </font>
    <font>
      <b/>
      <color rgb="FFFFFFFF"/>
      <sz val="10"/>
      <name val="맑은 고딕"/>
    </font>
    <font>
      <color rgb="FF7F7F7F"/>
      <sz val="9"/>
      <name val="맑은 고딕"/>
    </font>
    <font>
      <b/>
      <color rgb="FF1F3864"/>
      <sz val="13"/>
      <name val="맑은 고딕"/>
    </font>
    <font>
      <b/>
      <sz val="9"/>
      <name val="맑은 고딕"/>
    </font>
    <font>
      <b/>
      <sz val="11"/>
      <name val="맑은 고딕"/>
    </font>
    <font>
      <b/>
      <color rgb="FF1F3864"/>
      <sz val="14"/>
      <name val="맑은 고딕"/>
    </font>
    <font>
      <b/>
      <color rgb="FF1F3864"/>
      <sz val="12"/>
      <name val="맑은 고딕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DEEAF6"/>
      </patternFill>
    </fill>
    <fill>
      <patternFill patternType="solid">
        <fgColor rgb="FFFCE4EC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8E8E8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4" fillId="3" borderId="1" xfId="0" applyFont="1" applyFill="1" applyBorder="1"/>
    <xf numFmtId="0" fontId="2" fillId="4" borderId="1" xfId="0" applyFont="1" applyFill="1" applyBorder="1" applyAlignment="1">
      <alignment horizontal="left"/>
    </xf>
    <xf numFmtId="0" fontId="7" fillId="0" borderId="0" xfId="0" applyFont="1"/>
    <xf numFmtId="164" fontId="2" fillId="4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/>
    </xf>
    <xf numFmtId="4" fontId="10" fillId="4" borderId="1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left" vertical="center"/>
    </xf>
    <xf numFmtId="3" fontId="10" fillId="4" borderId="1" xfId="0" applyNumberFormat="1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5" fontId="10" fillId="10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3" fontId="10" fillId="10" borderId="1" xfId="0" applyNumberFormat="1" applyFont="1" applyFill="1" applyBorder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1" xfId="0" applyFont="1" applyBorder="1"/>
    <xf numFmtId="0" fontId="2" fillId="10" borderId="1" xfId="0" applyFont="1" applyFill="1" applyBorder="1" applyAlignment="1">
      <alignment horizontal="center"/>
    </xf>
    <xf numFmtId="0" fontId="10" fillId="0" borderId="1" xfId="0" applyFont="1" applyBorder="1" applyAlignment="1">
      <alignment vertical="center" wrapText="1"/>
    </xf>
    <xf numFmtId="0" fontId="13" fillId="0" borderId="0" xfId="0" applyFont="1"/>
    <xf numFmtId="0" fontId="14" fillId="0" borderId="1" xfId="0" applyFont="1" applyBorder="1" applyAlignment="1">
      <alignment horizontal="center" wrapText="1"/>
    </xf>
    <xf numFmtId="0" fontId="4" fillId="10" borderId="1" xfId="0" applyFont="1" applyFill="1" applyBorder="1" applyAlignment="1">
      <alignment horizontal="center"/>
    </xf>
    <xf numFmtId="0" fontId="15" fillId="0" borderId="0" xfId="0" applyFont="1"/>
    <xf numFmtId="0" fontId="16" fillId="10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vertical="center" wrapText="1"/>
    </xf>
    <xf numFmtId="0" fontId="12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7" fillId="0" borderId="0" xfId="0" applyFont="1"/>
    <xf numFmtId="0" fontId="14" fillId="8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0" borderId="1" xfId="0" applyFont="1" applyBorder="1"/>
  </cellXfs>
  <cellStyles count="1">
    <cellStyle name="Normal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CE4EC"/>
        </patternFill>
      </fill>
    </dxf>
    <dxf>
      <font>
        <color rgb="FF9C0006"/>
      </font>
      <fill>
        <patternFill patternType="solid">
          <bgColor rgb="FFFCE4EC"/>
        </patternFill>
      </fill>
    </dxf>
    <dxf>
      <font>
        <color rgb="FF9C0006"/>
      </font>
      <fill>
        <patternFill patternType="solid">
          <bgColor rgb="FFFCE4EC"/>
        </patternFill>
      </fill>
    </dxf>
    <dxf>
      <font>
        <color rgb="FF9C0006"/>
      </font>
      <fill>
        <patternFill patternType="solid">
          <bgColor rgb="FFFCE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10" customWidth="1"/>
  </cols>
  <sheetData>
    <row r="1" ht="24" customHeight="1" spans="1:1" x14ac:dyDescent="0.25">
      <c r="A1" s="1" t="s">
        <v>0</v>
      </c>
    </row>
    <row r="3" spans="1:1" x14ac:dyDescent="0.25">
      <c r="A3" s="2" t="s">
        <v>1</v>
      </c>
    </row>
    <row r="5" spans="1:2" x14ac:dyDescent="0.25">
      <c r="A5" s="3" t="s">
        <v>2</v>
      </c>
      <c r="B5" s="3"/>
    </row>
    <row r="6" ht="30" customHeight="1" spans="1:2" x14ac:dyDescent="0.25">
      <c r="A6" s="4" t="s">
        <v>3</v>
      </c>
      <c r="B6" s="5" t="s">
        <v>4</v>
      </c>
    </row>
    <row r="7" ht="30" customHeight="1" spans="1:2" x14ac:dyDescent="0.25">
      <c r="A7" s="4" t="s">
        <v>5</v>
      </c>
      <c r="B7" s="5" t="s">
        <v>6</v>
      </c>
    </row>
    <row r="8" ht="30" customHeight="1" spans="1:2" x14ac:dyDescent="0.25">
      <c r="A8" s="4" t="s">
        <v>7</v>
      </c>
      <c r="B8" s="5" t="s">
        <v>8</v>
      </c>
    </row>
    <row r="9" ht="45" customHeight="1" spans="1:2" x14ac:dyDescent="0.25">
      <c r="A9" s="4" t="s">
        <v>9</v>
      </c>
      <c r="B9" s="5" t="s">
        <v>10</v>
      </c>
    </row>
    <row r="10" ht="30" customHeight="1" spans="1:2" x14ac:dyDescent="0.25">
      <c r="A10" s="4" t="s">
        <v>11</v>
      </c>
      <c r="B10" s="5" t="s">
        <v>12</v>
      </c>
    </row>
    <row r="11" ht="30" customHeight="1" spans="1:2" x14ac:dyDescent="0.25">
      <c r="A11" s="4" t="s">
        <v>13</v>
      </c>
      <c r="B11" s="5" t="s">
        <v>14</v>
      </c>
    </row>
    <row r="13" spans="1:2" x14ac:dyDescent="0.25">
      <c r="A13" s="3" t="s">
        <v>15</v>
      </c>
      <c r="B13" s="3"/>
    </row>
    <row r="14" ht="18" customHeight="1" spans="1:2" x14ac:dyDescent="0.25">
      <c r="A14" s="4" t="s">
        <v>16</v>
      </c>
      <c r="B14" s="5" t="s">
        <v>17</v>
      </c>
    </row>
    <row r="15" ht="18" customHeight="1" spans="1:2" x14ac:dyDescent="0.25">
      <c r="A15" s="4" t="s">
        <v>18</v>
      </c>
      <c r="B15" s="5" t="s">
        <v>19</v>
      </c>
    </row>
    <row r="16" ht="30" customHeight="1" spans="1:2" x14ac:dyDescent="0.25">
      <c r="A16" s="4" t="s">
        <v>20</v>
      </c>
      <c r="B16" s="5" t="s">
        <v>21</v>
      </c>
    </row>
    <row r="18" spans="1:2" x14ac:dyDescent="0.25">
      <c r="A18" s="3" t="s">
        <v>22</v>
      </c>
      <c r="B18" s="3"/>
    </row>
    <row r="19" ht="18" customHeight="1" spans="1:2" x14ac:dyDescent="0.25">
      <c r="A19" s="4" t="s">
        <v>23</v>
      </c>
      <c r="B19" s="5" t="s">
        <v>24</v>
      </c>
    </row>
    <row r="20" ht="18" customHeight="1" spans="1:2" x14ac:dyDescent="0.25">
      <c r="A20" s="4" t="s">
        <v>25</v>
      </c>
      <c r="B20" s="5" t="s">
        <v>26</v>
      </c>
    </row>
    <row r="21" ht="18" customHeight="1" spans="1:2" x14ac:dyDescent="0.25">
      <c r="A21" s="4" t="s">
        <v>27</v>
      </c>
      <c r="B21" s="5" t="s">
        <v>28</v>
      </c>
    </row>
    <row r="22" ht="18" customHeight="1" spans="1:2" x14ac:dyDescent="0.25">
      <c r="A22" s="4" t="s">
        <v>29</v>
      </c>
      <c r="B22" s="5" t="s">
        <v>30</v>
      </c>
    </row>
    <row r="24" spans="1:2" x14ac:dyDescent="0.25">
      <c r="A24" s="3" t="s">
        <v>31</v>
      </c>
      <c r="B24" s="3"/>
    </row>
    <row r="25" ht="30" customHeight="1" spans="1:2" x14ac:dyDescent="0.25">
      <c r="A25" s="4" t="s">
        <v>32</v>
      </c>
      <c r="B25" s="5" t="s">
        <v>33</v>
      </c>
    </row>
    <row r="26" ht="18" customHeight="1" spans="1:2" x14ac:dyDescent="0.25">
      <c r="A26" s="4" t="s">
        <v>34</v>
      </c>
      <c r="B26" s="5" t="s">
        <v>35</v>
      </c>
    </row>
    <row r="27" ht="30" customHeight="1" spans="1:2" x14ac:dyDescent="0.25">
      <c r="A27" s="4" t="s">
        <v>36</v>
      </c>
      <c r="B27" s="5" t="s">
        <v>37</v>
      </c>
    </row>
    <row r="28" ht="18" customHeight="1" spans="1:2" x14ac:dyDescent="0.25">
      <c r="A28" s="4" t="s">
        <v>38</v>
      </c>
      <c r="B28" s="5" t="s">
        <v>39</v>
      </c>
    </row>
    <row r="29" ht="30" customHeight="1" spans="1:2" x14ac:dyDescent="0.25">
      <c r="A29" s="4" t="s">
        <v>40</v>
      </c>
      <c r="B29" s="5" t="s">
        <v>41</v>
      </c>
    </row>
    <row r="30" ht="30" customHeight="1" spans="1:2" x14ac:dyDescent="0.25">
      <c r="A30" s="4" t="s">
        <v>42</v>
      </c>
      <c r="B30" s="5" t="s">
        <v>43</v>
      </c>
    </row>
    <row r="32" spans="1:2" x14ac:dyDescent="0.25">
      <c r="A32" s="3" t="s">
        <v>44</v>
      </c>
      <c r="B32" s="3"/>
    </row>
    <row r="33" ht="18" customHeight="1" spans="1:2" x14ac:dyDescent="0.25">
      <c r="A33" s="4" t="s">
        <v>45</v>
      </c>
      <c r="B33" s="5" t="s">
        <v>46</v>
      </c>
    </row>
    <row r="34" ht="18" customHeight="1" spans="1:2" x14ac:dyDescent="0.25">
      <c r="A34" s="4" t="s">
        <v>47</v>
      </c>
      <c r="B34" s="5" t="s">
        <v>48</v>
      </c>
    </row>
    <row r="35" ht="18" customHeight="1" spans="1:2" x14ac:dyDescent="0.25">
      <c r="A35" s="4" t="s">
        <v>49</v>
      </c>
      <c r="B35" s="5" t="s">
        <v>50</v>
      </c>
    </row>
    <row r="36" ht="18" customHeight="1" spans="1:2" x14ac:dyDescent="0.25">
      <c r="A36" s="4" t="s">
        <v>51</v>
      </c>
      <c r="B36" s="5" t="s">
        <v>52</v>
      </c>
    </row>
    <row r="37" ht="18" customHeight="1" spans="1:2" x14ac:dyDescent="0.25">
      <c r="A37" s="4" t="s">
        <v>53</v>
      </c>
      <c r="B37" s="5" t="s">
        <v>54</v>
      </c>
    </row>
    <row r="39" spans="1:2" x14ac:dyDescent="0.25">
      <c r="A39" s="3" t="s">
        <v>55</v>
      </c>
      <c r="B39" s="3"/>
    </row>
    <row r="40" ht="30" customHeight="1" spans="1:2" x14ac:dyDescent="0.25">
      <c r="A40" s="4" t="s">
        <v>56</v>
      </c>
      <c r="B40" s="5" t="s">
        <v>57</v>
      </c>
    </row>
    <row r="41" ht="30" customHeight="1" spans="1:2" x14ac:dyDescent="0.25">
      <c r="A41" s="4" t="s">
        <v>58</v>
      </c>
      <c r="B41" s="5" t="s">
        <v>59</v>
      </c>
    </row>
    <row r="42" ht="30" customHeight="1" spans="1:2" x14ac:dyDescent="0.25">
      <c r="A42" s="4" t="s">
        <v>60</v>
      </c>
      <c r="B42" s="5" t="s">
        <v>61</v>
      </c>
    </row>
    <row r="43" ht="18" customHeight="1" spans="1:2" x14ac:dyDescent="0.25">
      <c r="A43" s="4" t="s">
        <v>62</v>
      </c>
      <c r="B43" s="5" t="s">
        <v>63</v>
      </c>
    </row>
    <row r="45" spans="1:2" x14ac:dyDescent="0.25">
      <c r="A45" s="3" t="s">
        <v>64</v>
      </c>
      <c r="B45" s="3"/>
    </row>
    <row r="46" ht="18" customHeight="1" spans="1:2" x14ac:dyDescent="0.25">
      <c r="A46" s="4" t="s">
        <v>65</v>
      </c>
      <c r="B46" s="5" t="s">
        <v>66</v>
      </c>
    </row>
    <row r="47" ht="30" customHeight="1" spans="1:2" x14ac:dyDescent="0.25">
      <c r="A47" s="4" t="s">
        <v>67</v>
      </c>
      <c r="B47" s="5" t="s">
        <v>68</v>
      </c>
    </row>
    <row r="48" ht="18" customHeight="1" spans="1:2" x14ac:dyDescent="0.25">
      <c r="A48" s="4" t="s">
        <v>69</v>
      </c>
      <c r="B48" s="5" t="s">
        <v>70</v>
      </c>
    </row>
    <row r="49" ht="18" customHeight="1" spans="1:2" x14ac:dyDescent="0.25">
      <c r="A49" s="4" t="s">
        <v>71</v>
      </c>
      <c r="B49" s="5" t="s">
        <v>72</v>
      </c>
    </row>
    <row r="50" ht="18" customHeight="1" spans="1:2" x14ac:dyDescent="0.25">
      <c r="A50" s="4" t="s">
        <v>73</v>
      </c>
      <c r="B50" s="5" t="s">
        <v>74</v>
      </c>
    </row>
    <row r="51" ht="30" customHeight="1" spans="1:2" x14ac:dyDescent="0.25">
      <c r="A51" s="4" t="s">
        <v>75</v>
      </c>
      <c r="B51" s="5" t="s">
        <v>76</v>
      </c>
    </row>
    <row r="53" spans="1:2" x14ac:dyDescent="0.25">
      <c r="A53" s="3" t="s">
        <v>77</v>
      </c>
      <c r="B53" s="3"/>
    </row>
    <row r="54" ht="18" customHeight="1" spans="1:2" x14ac:dyDescent="0.25">
      <c r="A54" s="4" t="s">
        <v>78</v>
      </c>
      <c r="B54" s="5" t="s">
        <v>79</v>
      </c>
    </row>
    <row r="55" ht="30" customHeight="1" spans="1:2" x14ac:dyDescent="0.25">
      <c r="A55" s="4" t="s">
        <v>80</v>
      </c>
      <c r="B55" s="5" t="s">
        <v>81</v>
      </c>
    </row>
    <row r="56" ht="30" customHeight="1" spans="1:2" x14ac:dyDescent="0.25">
      <c r="A56" s="4" t="s">
        <v>82</v>
      </c>
      <c r="B56" s="5" t="s">
        <v>83</v>
      </c>
    </row>
    <row r="57" ht="30" customHeight="1" spans="1:2" x14ac:dyDescent="0.25">
      <c r="A57" s="4" t="s">
        <v>84</v>
      </c>
      <c r="B57" s="5" t="s">
        <v>85</v>
      </c>
    </row>
    <row r="59" spans="1:1" x14ac:dyDescent="0.25">
      <c r="A59" s="6" t="s">
        <v>86</v>
      </c>
    </row>
  </sheetData>
  <mergeCells count="8">
    <mergeCell ref="A5:B5"/>
    <mergeCell ref="A13:B13"/>
    <mergeCell ref="A18:B18"/>
    <mergeCell ref="A24:B24"/>
    <mergeCell ref="A32:B32"/>
    <mergeCell ref="A39:B39"/>
    <mergeCell ref="A45:B45"/>
    <mergeCell ref="A53:B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12"/>
  <sheetViews>
    <sheetView workbookViewId="0" showGridLines="0">
      <pane xSplit="1" ySplit="12" topLeftCell="B13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4" width="12" customWidth="1"/>
    <col min="5" max="5" width="20" customWidth="1"/>
    <col min="6" max="6" width="10" customWidth="1"/>
    <col min="7" max="7" width="15" customWidth="1"/>
    <col min="8" max="8" width="16" customWidth="1"/>
    <col min="9" max="9" width="15" customWidth="1"/>
    <col min="10" max="12" width="13" customWidth="1"/>
    <col min="13" max="13" width="14" customWidth="1"/>
    <col min="14" max="14" width="13" customWidth="1"/>
    <col min="15" max="15" width="11" customWidth="1"/>
    <col min="16" max="16" width="24" customWidth="1"/>
    <col min="17" max="18" width="11" customWidth="1"/>
    <col min="19" max="19" width="10" customWidth="1"/>
    <col min="20" max="20" width="15" customWidth="1"/>
    <col min="21" max="21" width="18" customWidth="1"/>
    <col min="22" max="24" width="15" customWidth="1"/>
    <col min="25" max="25" width="17" customWidth="1"/>
  </cols>
  <sheetData>
    <row r="1" ht="23" customHeight="1" spans="1:8" x14ac:dyDescent="0.25">
      <c r="A1" s="1" t="s">
        <v>87</v>
      </c>
      <c r="B1" s="1"/>
      <c r="C1" s="1"/>
      <c r="D1" s="1"/>
      <c r="E1" s="1"/>
      <c r="F1" s="1"/>
      <c r="G1" s="1"/>
      <c r="H1" s="1"/>
    </row>
    <row r="2" spans="1:15" x14ac:dyDescent="0.25">
      <c r="A2" s="7" t="s">
        <v>88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6" x14ac:dyDescent="0.25">
      <c r="A3" s="8" t="s">
        <v>89</v>
      </c>
      <c r="B3" s="8"/>
      <c r="C3" s="9"/>
      <c r="D3" s="9"/>
      <c r="E3" s="9"/>
      <c r="F3" s="10" t="s">
        <v>90</v>
      </c>
    </row>
    <row r="4" spans="1:6" x14ac:dyDescent="0.25">
      <c r="A4" s="8" t="s">
        <v>91</v>
      </c>
      <c r="B4" s="8"/>
      <c r="C4" s="9"/>
      <c r="D4" s="9"/>
      <c r="E4" s="9"/>
      <c r="F4" s="7" t="s">
        <v>92</v>
      </c>
    </row>
    <row r="5" spans="1:5" x14ac:dyDescent="0.25">
      <c r="A5" s="8" t="s">
        <v>93</v>
      </c>
      <c r="B5" s="8"/>
      <c r="C5" s="11"/>
      <c r="D5" s="11"/>
      <c r="E5" s="11"/>
    </row>
    <row r="6" spans="1:6" x14ac:dyDescent="0.25">
      <c r="A6" s="8" t="s">
        <v>94</v>
      </c>
      <c r="B6" s="8"/>
      <c r="C6" s="11">
        <f>TODAY()</f>
        <v>46300</v>
      </c>
      <c r="D6" s="11"/>
      <c r="E6" s="11"/>
      <c r="F6" s="7" t="s">
        <v>95</v>
      </c>
    </row>
    <row r="7" spans="1:6" x14ac:dyDescent="0.25">
      <c r="A7" s="8" t="s">
        <v>96</v>
      </c>
      <c r="B7" s="8"/>
      <c r="C7" s="12">
        <v>900000000</v>
      </c>
      <c r="D7" s="12"/>
      <c r="E7" s="12"/>
      <c r="F7" s="7" t="s">
        <v>97</v>
      </c>
    </row>
    <row r="8" spans="1:5" x14ac:dyDescent="0.25">
      <c r="A8" s="8" t="s">
        <v>98</v>
      </c>
      <c r="B8" s="8"/>
      <c r="C8" s="9"/>
      <c r="D8" s="9"/>
      <c r="E8" s="9"/>
    </row>
    <row r="9" spans="1:5" x14ac:dyDescent="0.25">
      <c r="A9" s="8" t="s">
        <v>99</v>
      </c>
      <c r="B9" s="8"/>
      <c r="C9" s="11"/>
      <c r="D9" s="11"/>
      <c r="E9" s="11"/>
    </row>
    <row r="10" spans="1:25" x14ac:dyDescent="0.25">
      <c r="A10" s="13" t="s">
        <v>100</v>
      </c>
      <c r="B10" s="13"/>
      <c r="C10" s="14">
        <f>SUM(C13:C112)</f>
        <v>132.5</v>
      </c>
      <c r="D10" s="14">
        <f>SUM(D13:D112)</f>
        <v>99.4</v>
      </c>
      <c r="E10" s="15"/>
      <c r="F10" s="15"/>
      <c r="G10" s="16">
        <f>SUM(G13:G112)</f>
        <v>50000000</v>
      </c>
      <c r="H10" s="16">
        <f>SUM(H13:H112)</f>
        <v>4500000</v>
      </c>
      <c r="I10" s="16">
        <f>SUM(I13:I112)</f>
        <v>550000</v>
      </c>
      <c r="J10" s="15"/>
      <c r="K10" s="15"/>
      <c r="L10" s="15"/>
      <c r="M10" s="15"/>
      <c r="N10" s="15"/>
      <c r="O10" s="15"/>
      <c r="P10" s="15"/>
      <c r="Q10" s="17">
        <f>SUM(Q13:Q112)</f>
        <v>40.08125150304693</v>
      </c>
      <c r="R10" s="17">
        <f>SUM(R13:R112)</f>
        <v>30.06850112756879</v>
      </c>
      <c r="S10" s="18">
        <f>IFERROR(SUMIFS(D13:D112,C13:C112,"&gt;0",D13:D112,"&gt;0")/SUMIFS(C13:C112,C13:C112,"&gt;0",D13:D112,"&gt;0")*100,"")</f>
        <v>75.01886792452831</v>
      </c>
      <c r="T10" s="15"/>
      <c r="U10" s="15"/>
      <c r="V10" s="15"/>
      <c r="W10" s="15"/>
      <c r="X10" s="16">
        <f>SUM(X13:X112)</f>
        <v>5050000</v>
      </c>
      <c r="Y10" s="15"/>
    </row>
    <row r="11" ht="13.5" customHeight="1" spans="1:25" x14ac:dyDescent="0.25">
      <c r="A11" s="19" t="s">
        <v>101</v>
      </c>
      <c r="B11" s="20" t="s">
        <v>102</v>
      </c>
      <c r="C11" s="20" t="s">
        <v>102</v>
      </c>
      <c r="D11" s="20" t="s">
        <v>103</v>
      </c>
      <c r="E11" s="19" t="s">
        <v>101</v>
      </c>
      <c r="F11" s="20" t="s">
        <v>102</v>
      </c>
      <c r="G11" s="19" t="s">
        <v>101</v>
      </c>
      <c r="H11" s="19" t="s">
        <v>101</v>
      </c>
      <c r="I11" s="20" t="s">
        <v>102</v>
      </c>
      <c r="J11" s="21" t="s">
        <v>104</v>
      </c>
      <c r="K11" s="20" t="s">
        <v>102</v>
      </c>
      <c r="L11" s="19" t="s">
        <v>101</v>
      </c>
      <c r="M11" s="21" t="s">
        <v>104</v>
      </c>
      <c r="N11" s="21" t="s">
        <v>104</v>
      </c>
      <c r="O11" s="19" t="s">
        <v>101</v>
      </c>
      <c r="P11" s="22" t="s">
        <v>105</v>
      </c>
      <c r="Q11" s="23" t="s">
        <v>106</v>
      </c>
      <c r="R11" s="23" t="s">
        <v>106</v>
      </c>
      <c r="S11" s="23" t="s">
        <v>106</v>
      </c>
      <c r="T11" s="23" t="s">
        <v>106</v>
      </c>
      <c r="U11" s="23" t="s">
        <v>106</v>
      </c>
      <c r="V11" s="23" t="s">
        <v>106</v>
      </c>
      <c r="W11" s="23" t="s">
        <v>106</v>
      </c>
      <c r="X11" s="23" t="s">
        <v>106</v>
      </c>
      <c r="Y11" s="23" t="s">
        <v>106</v>
      </c>
    </row>
    <row r="12" ht="31.5" customHeight="1" spans="1:25" x14ac:dyDescent="0.25">
      <c r="A12" s="24" t="s">
        <v>45</v>
      </c>
      <c r="B12" s="24" t="s">
        <v>107</v>
      </c>
      <c r="C12" s="24" t="s">
        <v>108</v>
      </c>
      <c r="D12" s="24" t="s">
        <v>109</v>
      </c>
      <c r="E12" s="24" t="s">
        <v>47</v>
      </c>
      <c r="F12" s="24" t="s">
        <v>110</v>
      </c>
      <c r="G12" s="24" t="s">
        <v>111</v>
      </c>
      <c r="H12" s="24" t="s">
        <v>112</v>
      </c>
      <c r="I12" s="24" t="s">
        <v>113</v>
      </c>
      <c r="J12" s="24" t="s">
        <v>114</v>
      </c>
      <c r="K12" s="24" t="s">
        <v>115</v>
      </c>
      <c r="L12" s="24" t="s">
        <v>53</v>
      </c>
      <c r="M12" s="24" t="s">
        <v>116</v>
      </c>
      <c r="N12" s="24" t="s">
        <v>117</v>
      </c>
      <c r="O12" s="24" t="s">
        <v>49</v>
      </c>
      <c r="P12" s="24" t="s">
        <v>118</v>
      </c>
      <c r="Q12" s="24" t="s">
        <v>119</v>
      </c>
      <c r="R12" s="24" t="s">
        <v>120</v>
      </c>
      <c r="S12" s="24" t="s">
        <v>121</v>
      </c>
      <c r="T12" s="24" t="s">
        <v>122</v>
      </c>
      <c r="U12" s="24" t="s">
        <v>123</v>
      </c>
      <c r="V12" s="24" t="s">
        <v>124</v>
      </c>
      <c r="W12" s="24" t="s">
        <v>125</v>
      </c>
      <c r="X12" s="24" t="s">
        <v>126</v>
      </c>
      <c r="Y12" s="24" t="s">
        <v>127</v>
      </c>
    </row>
    <row r="13" ht="18" customHeight="1" spans="1:25" x14ac:dyDescent="0.25">
      <c r="A13" s="25" t="s">
        <v>128</v>
      </c>
      <c r="B13" s="25"/>
      <c r="C13" s="26">
        <v>132.5</v>
      </c>
      <c r="D13" s="26">
        <v>99.4</v>
      </c>
      <c r="E13" s="27" t="s">
        <v>129</v>
      </c>
      <c r="F13" s="25" t="s">
        <v>130</v>
      </c>
      <c r="G13" s="28">
        <v>50000000</v>
      </c>
      <c r="H13" s="28">
        <v>4500000</v>
      </c>
      <c r="I13" s="28">
        <v>550000</v>
      </c>
      <c r="J13" s="29">
        <v>45017</v>
      </c>
      <c r="K13" s="29">
        <v>45292</v>
      </c>
      <c r="L13" s="29">
        <v>46752</v>
      </c>
      <c r="M13" s="25" t="s">
        <v>131</v>
      </c>
      <c r="N13" s="25" t="s">
        <v>132</v>
      </c>
      <c r="O13" s="25" t="s">
        <v>133</v>
      </c>
      <c r="P13" s="27" t="s">
        <v>134</v>
      </c>
      <c r="Q13" s="30">
        <f>IF(OR($A13="",C13=""),"",C13/3.305785)</f>
        <v>40.08125150304693</v>
      </c>
      <c r="R13" s="30">
        <f>IF(OR($A13="",D13=""),"",D13/3.305785)</f>
        <v>30.06850112756879</v>
      </c>
      <c r="S13" s="31">
        <f>IF(OR($A13="",C13="",D13=""),"",IF(C13&gt;0,D13/C13*100,""))</f>
        <v>75.01886792452831</v>
      </c>
      <c r="T13" s="32">
        <f>IF(OR($A13="",O13&lt;&gt;"임대중",F13&lt;&gt;"상가",G13=""),"",G13+H13*100)</f>
        <v>500000000</v>
      </c>
      <c r="U13" s="33" t="str">
        <f>IF(T13="","",IF(T13&lt;=$C$7,"○ 전면적용","× 초과 (5%상한 미적용)"))</f>
        <v>○ 전면적용</v>
      </c>
      <c r="V13" s="33" t="str">
        <f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  <v>6.5년</v>
      </c>
      <c r="W13" s="33" t="str">
        <f>IF($A13="","",IF(O13="공실","공실",IF(O13="자가사용","자가사용",IF(L13="","만료일 없음",IF(L13&lt;$C$6,"만료 +"&amp;TEXT($C$6-L13,"0")&amp;"일",IF(L13-$C$6&lt;=30,"임박 "&amp;TEXT(L13-$C$6,"0")&amp;"일","유효"))))))</f>
        <v>유효</v>
      </c>
      <c r="X13" s="32">
        <f>IF(OR($A13="",O13&lt;&gt;"임대중"),"",IF(H13="",0,H13)+IF(I13="",0,I13))</f>
        <v>5050000</v>
      </c>
      <c r="Y13" s="32">
        <f>IF(OR($A13="",O13&lt;&gt;"임대중",D13="",H13=""),"",ROUND((H13+IF(I13="",0,I13))/(D13/3.305785),0))</f>
        <v>167950</v>
      </c>
    </row>
    <row r="14" ht="18" customHeight="1" spans="1:25" x14ac:dyDescent="0.25">
      <c r="A14" s="25"/>
      <c r="B14" s="25"/>
      <c r="C14" s="26"/>
      <c r="D14" s="26"/>
      <c r="E14" s="27"/>
      <c r="F14" s="25"/>
      <c r="G14" s="28"/>
      <c r="H14" s="28"/>
      <c r="I14" s="28"/>
      <c r="J14" s="29"/>
      <c r="K14" s="29"/>
      <c r="L14" s="29"/>
      <c r="M14" s="25"/>
      <c r="N14" s="25"/>
      <c r="O14" s="25"/>
      <c r="P14" s="27"/>
      <c r="Q14" s="30" t="str">
        <f>IF(OR($A14="",C14=""),"",C14/3.305785)</f>
        <v/>
      </c>
      <c r="R14" s="30" t="str">
        <f>IF(OR($A14="",D14=""),"",D14/3.305785)</f>
        <v/>
      </c>
      <c r="S14" s="31" t="str">
        <f>IF(OR($A14="",C14="",D14=""),"",IF(C14&gt;0,D14/C14*100,""))</f>
        <v/>
      </c>
      <c r="T14" s="32" t="str">
        <f>IF(OR($A14="",O14&lt;&gt;"임대중",F14&lt;&gt;"상가",G14=""),"",G14+H14*100)</f>
        <v/>
      </c>
      <c r="U14" s="33" t="str">
        <f>IF(T14="","",IF(T14&lt;=$C$7,"○ 전면적용","× 초과 (5%상한 미적용)"))</f>
        <v/>
      </c>
      <c r="V14" s="33" t="str">
        <f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  <v/>
      </c>
      <c r="W14" s="33" t="str">
        <f>IF($A14="","",IF(O14="공실","공실",IF(O14="자가사용","자가사용",IF(L14="","만료일 없음",IF(L14&lt;$C$6,"만료 +"&amp;TEXT($C$6-L14,"0")&amp;"일",IF(L14-$C$6&lt;=30,"임박 "&amp;TEXT(L14-$C$6,"0")&amp;"일","유효"))))))</f>
        <v/>
      </c>
      <c r="X14" s="32" t="str">
        <f>IF(OR($A14="",O14&lt;&gt;"임대중"),"",IF(H14="",0,H14)+IF(I14="",0,I14))</f>
        <v/>
      </c>
      <c r="Y14" s="32" t="str">
        <f>IF(OR($A14="",O14&lt;&gt;"임대중",D14="",H14=""),"",ROUND((H14+IF(I14="",0,I14))/(D14/3.305785),0))</f>
        <v/>
      </c>
    </row>
    <row r="15" ht="18" customHeight="1" spans="1:25" x14ac:dyDescent="0.25">
      <c r="A15" s="25"/>
      <c r="B15" s="25"/>
      <c r="C15" s="26"/>
      <c r="D15" s="26"/>
      <c r="E15" s="27"/>
      <c r="F15" s="25"/>
      <c r="G15" s="28"/>
      <c r="H15" s="28"/>
      <c r="I15" s="28"/>
      <c r="J15" s="29"/>
      <c r="K15" s="29"/>
      <c r="L15" s="29"/>
      <c r="M15" s="25"/>
      <c r="N15" s="25"/>
      <c r="O15" s="25"/>
      <c r="P15" s="27"/>
      <c r="Q15" s="30" t="str">
        <f>IF(OR($A15="",C15=""),"",C15/3.305785)</f>
        <v/>
      </c>
      <c r="R15" s="30" t="str">
        <f>IF(OR($A15="",D15=""),"",D15/3.305785)</f>
        <v/>
      </c>
      <c r="S15" s="31" t="str">
        <f>IF(OR($A15="",C15="",D15=""),"",IF(C15&gt;0,D15/C15*100,""))</f>
        <v/>
      </c>
      <c r="T15" s="32" t="str">
        <f>IF(OR($A15="",O15&lt;&gt;"임대중",F15&lt;&gt;"상가",G15=""),"",G15+H15*100)</f>
        <v/>
      </c>
      <c r="U15" s="33" t="str">
        <f>IF(T15="","",IF(T15&lt;=$C$7,"○ 전면적용","× 초과 (5%상한 미적용)"))</f>
        <v/>
      </c>
      <c r="V15" s="33" t="str">
        <f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  <v/>
      </c>
      <c r="W15" s="33" t="str">
        <f>IF($A15="","",IF(O15="공실","공실",IF(O15="자가사용","자가사용",IF(L15="","만료일 없음",IF(L15&lt;$C$6,"만료 +"&amp;TEXT($C$6-L15,"0")&amp;"일",IF(L15-$C$6&lt;=30,"임박 "&amp;TEXT(L15-$C$6,"0")&amp;"일","유효"))))))</f>
        <v/>
      </c>
      <c r="X15" s="32" t="str">
        <f>IF(OR($A15="",O15&lt;&gt;"임대중"),"",IF(H15="",0,H15)+IF(I15="",0,I15))</f>
        <v/>
      </c>
      <c r="Y15" s="32" t="str">
        <f>IF(OR($A15="",O15&lt;&gt;"임대중",D15="",H15=""),"",ROUND((H15+IF(I15="",0,I15))/(D15/3.305785),0))</f>
        <v/>
      </c>
    </row>
    <row r="16" ht="18" customHeight="1" spans="1:25" x14ac:dyDescent="0.25">
      <c r="A16" s="25"/>
      <c r="B16" s="25"/>
      <c r="C16" s="26"/>
      <c r="D16" s="26"/>
      <c r="E16" s="27"/>
      <c r="F16" s="25"/>
      <c r="G16" s="28"/>
      <c r="H16" s="28"/>
      <c r="I16" s="28"/>
      <c r="J16" s="29"/>
      <c r="K16" s="29"/>
      <c r="L16" s="29"/>
      <c r="M16" s="25"/>
      <c r="N16" s="25"/>
      <c r="O16" s="25"/>
      <c r="P16" s="27"/>
      <c r="Q16" s="30" t="str">
        <f>IF(OR($A16="",C16=""),"",C16/3.305785)</f>
        <v/>
      </c>
      <c r="R16" s="30" t="str">
        <f>IF(OR($A16="",D16=""),"",D16/3.305785)</f>
        <v/>
      </c>
      <c r="S16" s="31" t="str">
        <f>IF(OR($A16="",C16="",D16=""),"",IF(C16&gt;0,D16/C16*100,""))</f>
        <v/>
      </c>
      <c r="T16" s="32" t="str">
        <f>IF(OR($A16="",O16&lt;&gt;"임대중",F16&lt;&gt;"상가",G16=""),"",G16+H16*100)</f>
        <v/>
      </c>
      <c r="U16" s="33" t="str">
        <f>IF(T16="","",IF(T16&lt;=$C$7,"○ 전면적용","× 초과 (5%상한 미적용)"))</f>
        <v/>
      </c>
      <c r="V16" s="33" t="str">
        <f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  <v/>
      </c>
      <c r="W16" s="33" t="str">
        <f>IF($A16="","",IF(O16="공실","공실",IF(O16="자가사용","자가사용",IF(L16="","만료일 없음",IF(L16&lt;$C$6,"만료 +"&amp;TEXT($C$6-L16,"0")&amp;"일",IF(L16-$C$6&lt;=30,"임박 "&amp;TEXT(L16-$C$6,"0")&amp;"일","유효"))))))</f>
        <v/>
      </c>
      <c r="X16" s="32" t="str">
        <f>IF(OR($A16="",O16&lt;&gt;"임대중"),"",IF(H16="",0,H16)+IF(I16="",0,I16))</f>
        <v/>
      </c>
      <c r="Y16" s="32" t="str">
        <f>IF(OR($A16="",O16&lt;&gt;"임대중",D16="",H16=""),"",ROUND((H16+IF(I16="",0,I16))/(D16/3.305785),0))</f>
        <v/>
      </c>
    </row>
    <row r="17" ht="18" customHeight="1" spans="1:25" x14ac:dyDescent="0.25">
      <c r="A17" s="25"/>
      <c r="B17" s="25"/>
      <c r="C17" s="26"/>
      <c r="D17" s="26"/>
      <c r="E17" s="27"/>
      <c r="F17" s="25"/>
      <c r="G17" s="28"/>
      <c r="H17" s="28"/>
      <c r="I17" s="28"/>
      <c r="J17" s="29"/>
      <c r="K17" s="29"/>
      <c r="L17" s="29"/>
      <c r="M17" s="25"/>
      <c r="N17" s="25"/>
      <c r="O17" s="25"/>
      <c r="P17" s="27"/>
      <c r="Q17" s="30" t="str">
        <f>IF(OR($A17="",C17=""),"",C17/3.305785)</f>
        <v/>
      </c>
      <c r="R17" s="30" t="str">
        <f>IF(OR($A17="",D17=""),"",D17/3.305785)</f>
        <v/>
      </c>
      <c r="S17" s="31" t="str">
        <f>IF(OR($A17="",C17="",D17=""),"",IF(C17&gt;0,D17/C17*100,""))</f>
        <v/>
      </c>
      <c r="T17" s="32" t="str">
        <f>IF(OR($A17="",O17&lt;&gt;"임대중",F17&lt;&gt;"상가",G17=""),"",G17+H17*100)</f>
        <v/>
      </c>
      <c r="U17" s="33" t="str">
        <f>IF(T17="","",IF(T17&lt;=$C$7,"○ 전면적용","× 초과 (5%상한 미적용)"))</f>
        <v/>
      </c>
      <c r="V17" s="33" t="str">
        <f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  <v/>
      </c>
      <c r="W17" s="33" t="str">
        <f>IF($A17="","",IF(O17="공실","공실",IF(O17="자가사용","자가사용",IF(L17="","만료일 없음",IF(L17&lt;$C$6,"만료 +"&amp;TEXT($C$6-L17,"0")&amp;"일",IF(L17-$C$6&lt;=30,"임박 "&amp;TEXT(L17-$C$6,"0")&amp;"일","유효"))))))</f>
        <v/>
      </c>
      <c r="X17" s="32" t="str">
        <f>IF(OR($A17="",O17&lt;&gt;"임대중"),"",IF(H17="",0,H17)+IF(I17="",0,I17))</f>
        <v/>
      </c>
      <c r="Y17" s="32" t="str">
        <f>IF(OR($A17="",O17&lt;&gt;"임대중",D17="",H17=""),"",ROUND((H17+IF(I17="",0,I17))/(D17/3.305785),0))</f>
        <v/>
      </c>
    </row>
    <row r="18" ht="18" customHeight="1" spans="1:25" x14ac:dyDescent="0.25">
      <c r="A18" s="25"/>
      <c r="B18" s="25"/>
      <c r="C18" s="26"/>
      <c r="D18" s="26"/>
      <c r="E18" s="27"/>
      <c r="F18" s="25"/>
      <c r="G18" s="28"/>
      <c r="H18" s="28"/>
      <c r="I18" s="28"/>
      <c r="J18" s="29"/>
      <c r="K18" s="29"/>
      <c r="L18" s="29"/>
      <c r="M18" s="25"/>
      <c r="N18" s="25"/>
      <c r="O18" s="25"/>
      <c r="P18" s="27"/>
      <c r="Q18" s="30" t="str">
        <f>IF(OR($A18="",C18=""),"",C18/3.305785)</f>
        <v/>
      </c>
      <c r="R18" s="30" t="str">
        <f>IF(OR($A18="",D18=""),"",D18/3.305785)</f>
        <v/>
      </c>
      <c r="S18" s="31" t="str">
        <f>IF(OR($A18="",C18="",D18=""),"",IF(C18&gt;0,D18/C18*100,""))</f>
        <v/>
      </c>
      <c r="T18" s="32" t="str">
        <f>IF(OR($A18="",O18&lt;&gt;"임대중",F18&lt;&gt;"상가",G18=""),"",G18+H18*100)</f>
        <v/>
      </c>
      <c r="U18" s="33" t="str">
        <f>IF(T18="","",IF(T18&lt;=$C$7,"○ 전면적용","× 초과 (5%상한 미적용)"))</f>
        <v/>
      </c>
      <c r="V18" s="33" t="str">
        <f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  <v/>
      </c>
      <c r="W18" s="33" t="str">
        <f>IF($A18="","",IF(O18="공실","공실",IF(O18="자가사용","자가사용",IF(L18="","만료일 없음",IF(L18&lt;$C$6,"만료 +"&amp;TEXT($C$6-L18,"0")&amp;"일",IF(L18-$C$6&lt;=30,"임박 "&amp;TEXT(L18-$C$6,"0")&amp;"일","유효"))))))</f>
        <v/>
      </c>
      <c r="X18" s="32" t="str">
        <f>IF(OR($A18="",O18&lt;&gt;"임대중"),"",IF(H18="",0,H18)+IF(I18="",0,I18))</f>
        <v/>
      </c>
      <c r="Y18" s="32" t="str">
        <f>IF(OR($A18="",O18&lt;&gt;"임대중",D18="",H18=""),"",ROUND((H18+IF(I18="",0,I18))/(D18/3.305785),0))</f>
        <v/>
      </c>
    </row>
    <row r="19" ht="18" customHeight="1" spans="1:25" x14ac:dyDescent="0.25">
      <c r="A19" s="25"/>
      <c r="B19" s="25"/>
      <c r="C19" s="26"/>
      <c r="D19" s="26"/>
      <c r="E19" s="27"/>
      <c r="F19" s="25"/>
      <c r="G19" s="28"/>
      <c r="H19" s="28"/>
      <c r="I19" s="28"/>
      <c r="J19" s="29"/>
      <c r="K19" s="29"/>
      <c r="L19" s="29"/>
      <c r="M19" s="25"/>
      <c r="N19" s="25"/>
      <c r="O19" s="25"/>
      <c r="P19" s="27"/>
      <c r="Q19" s="30" t="str">
        <f>IF(OR($A19="",C19=""),"",C19/3.305785)</f>
        <v/>
      </c>
      <c r="R19" s="30" t="str">
        <f>IF(OR($A19="",D19=""),"",D19/3.305785)</f>
        <v/>
      </c>
      <c r="S19" s="31" t="str">
        <f>IF(OR($A19="",C19="",D19=""),"",IF(C19&gt;0,D19/C19*100,""))</f>
        <v/>
      </c>
      <c r="T19" s="32" t="str">
        <f>IF(OR($A19="",O19&lt;&gt;"임대중",F19&lt;&gt;"상가",G19=""),"",G19+H19*100)</f>
        <v/>
      </c>
      <c r="U19" s="33" t="str">
        <f>IF(T19="","",IF(T19&lt;=$C$7,"○ 전면적용","× 초과 (5%상한 미적용)"))</f>
        <v/>
      </c>
      <c r="V19" s="33" t="str">
        <f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  <v/>
      </c>
      <c r="W19" s="33" t="str">
        <f>IF($A19="","",IF(O19="공실","공실",IF(O19="자가사용","자가사용",IF(L19="","만료일 없음",IF(L19&lt;$C$6,"만료 +"&amp;TEXT($C$6-L19,"0")&amp;"일",IF(L19-$C$6&lt;=30,"임박 "&amp;TEXT(L19-$C$6,"0")&amp;"일","유효"))))))</f>
        <v/>
      </c>
      <c r="X19" s="32" t="str">
        <f>IF(OR($A19="",O19&lt;&gt;"임대중"),"",IF(H19="",0,H19)+IF(I19="",0,I19))</f>
        <v/>
      </c>
      <c r="Y19" s="32" t="str">
        <f>IF(OR($A19="",O19&lt;&gt;"임대중",D19="",H19=""),"",ROUND((H19+IF(I19="",0,I19))/(D19/3.305785),0))</f>
        <v/>
      </c>
    </row>
    <row r="20" ht="18" customHeight="1" spans="1:25" x14ac:dyDescent="0.25">
      <c r="A20" s="25"/>
      <c r="B20" s="25"/>
      <c r="C20" s="26"/>
      <c r="D20" s="26"/>
      <c r="E20" s="27"/>
      <c r="F20" s="25"/>
      <c r="G20" s="28"/>
      <c r="H20" s="28"/>
      <c r="I20" s="28"/>
      <c r="J20" s="29"/>
      <c r="K20" s="29"/>
      <c r="L20" s="29"/>
      <c r="M20" s="25"/>
      <c r="N20" s="25"/>
      <c r="O20" s="25"/>
      <c r="P20" s="27"/>
      <c r="Q20" s="30" t="str">
        <f>IF(OR($A20="",C20=""),"",C20/3.305785)</f>
        <v/>
      </c>
      <c r="R20" s="30" t="str">
        <f>IF(OR($A20="",D20=""),"",D20/3.305785)</f>
        <v/>
      </c>
      <c r="S20" s="31" t="str">
        <f>IF(OR($A20="",C20="",D20=""),"",IF(C20&gt;0,D20/C20*100,""))</f>
        <v/>
      </c>
      <c r="T20" s="32" t="str">
        <f>IF(OR($A20="",O20&lt;&gt;"임대중",F20&lt;&gt;"상가",G20=""),"",G20+H20*100)</f>
        <v/>
      </c>
      <c r="U20" s="33" t="str">
        <f>IF(T20="","",IF(T20&lt;=$C$7,"○ 전면적용","× 초과 (5%상한 미적용)"))</f>
        <v/>
      </c>
      <c r="V20" s="33" t="str">
        <f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  <v/>
      </c>
      <c r="W20" s="33" t="str">
        <f>IF($A20="","",IF(O20="공실","공실",IF(O20="자가사용","자가사용",IF(L20="","만료일 없음",IF(L20&lt;$C$6,"만료 +"&amp;TEXT($C$6-L20,"0")&amp;"일",IF(L20-$C$6&lt;=30,"임박 "&amp;TEXT(L20-$C$6,"0")&amp;"일","유효"))))))</f>
        <v/>
      </c>
      <c r="X20" s="32" t="str">
        <f>IF(OR($A20="",O20&lt;&gt;"임대중"),"",IF(H20="",0,H20)+IF(I20="",0,I20))</f>
        <v/>
      </c>
      <c r="Y20" s="32" t="str">
        <f>IF(OR($A20="",O20&lt;&gt;"임대중",D20="",H20=""),"",ROUND((H20+IF(I20="",0,I20))/(D20/3.305785),0))</f>
        <v/>
      </c>
    </row>
    <row r="21" ht="18" customHeight="1" spans="1:25" x14ac:dyDescent="0.25">
      <c r="A21" s="25"/>
      <c r="B21" s="25"/>
      <c r="C21" s="26"/>
      <c r="D21" s="26"/>
      <c r="E21" s="27"/>
      <c r="F21" s="25"/>
      <c r="G21" s="28"/>
      <c r="H21" s="28"/>
      <c r="I21" s="28"/>
      <c r="J21" s="29"/>
      <c r="K21" s="29"/>
      <c r="L21" s="29"/>
      <c r="M21" s="25"/>
      <c r="N21" s="25"/>
      <c r="O21" s="25"/>
      <c r="P21" s="27"/>
      <c r="Q21" s="30" t="str">
        <f>IF(OR($A21="",C21=""),"",C21/3.305785)</f>
        <v/>
      </c>
      <c r="R21" s="30" t="str">
        <f>IF(OR($A21="",D21=""),"",D21/3.305785)</f>
        <v/>
      </c>
      <c r="S21" s="31" t="str">
        <f>IF(OR($A21="",C21="",D21=""),"",IF(C21&gt;0,D21/C21*100,""))</f>
        <v/>
      </c>
      <c r="T21" s="32" t="str">
        <f>IF(OR($A21="",O21&lt;&gt;"임대중",F21&lt;&gt;"상가",G21=""),"",G21+H21*100)</f>
        <v/>
      </c>
      <c r="U21" s="33" t="str">
        <f>IF(T21="","",IF(T21&lt;=$C$7,"○ 전면적용","× 초과 (5%상한 미적용)"))</f>
        <v/>
      </c>
      <c r="V21" s="33" t="str">
        <f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  <v/>
      </c>
      <c r="W21" s="33" t="str">
        <f>IF($A21="","",IF(O21="공실","공실",IF(O21="자가사용","자가사용",IF(L21="","만료일 없음",IF(L21&lt;$C$6,"만료 +"&amp;TEXT($C$6-L21,"0")&amp;"일",IF(L21-$C$6&lt;=30,"임박 "&amp;TEXT(L21-$C$6,"0")&amp;"일","유효"))))))</f>
        <v/>
      </c>
      <c r="X21" s="32" t="str">
        <f>IF(OR($A21="",O21&lt;&gt;"임대중"),"",IF(H21="",0,H21)+IF(I21="",0,I21))</f>
        <v/>
      </c>
      <c r="Y21" s="32" t="str">
        <f>IF(OR($A21="",O21&lt;&gt;"임대중",D21="",H21=""),"",ROUND((H21+IF(I21="",0,I21))/(D21/3.305785),0))</f>
        <v/>
      </c>
    </row>
    <row r="22" ht="18" customHeight="1" spans="1:25" x14ac:dyDescent="0.25">
      <c r="A22" s="25"/>
      <c r="B22" s="25"/>
      <c r="C22" s="26"/>
      <c r="D22" s="26"/>
      <c r="E22" s="27"/>
      <c r="F22" s="25"/>
      <c r="G22" s="28"/>
      <c r="H22" s="28"/>
      <c r="I22" s="28"/>
      <c r="J22" s="29"/>
      <c r="K22" s="29"/>
      <c r="L22" s="29"/>
      <c r="M22" s="25"/>
      <c r="N22" s="25"/>
      <c r="O22" s="25"/>
      <c r="P22" s="27"/>
      <c r="Q22" s="30" t="str">
        <f>IF(OR($A22="",C22=""),"",C22/3.305785)</f>
        <v/>
      </c>
      <c r="R22" s="30" t="str">
        <f>IF(OR($A22="",D22=""),"",D22/3.305785)</f>
        <v/>
      </c>
      <c r="S22" s="31" t="str">
        <f>IF(OR($A22="",C22="",D22=""),"",IF(C22&gt;0,D22/C22*100,""))</f>
        <v/>
      </c>
      <c r="T22" s="32" t="str">
        <f>IF(OR($A22="",O22&lt;&gt;"임대중",F22&lt;&gt;"상가",G22=""),"",G22+H22*100)</f>
        <v/>
      </c>
      <c r="U22" s="33" t="str">
        <f>IF(T22="","",IF(T22&lt;=$C$7,"○ 전면적용","× 초과 (5%상한 미적용)"))</f>
        <v/>
      </c>
      <c r="V22" s="33" t="str">
        <f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  <v/>
      </c>
      <c r="W22" s="33" t="str">
        <f>IF($A22="","",IF(O22="공실","공실",IF(O22="자가사용","자가사용",IF(L22="","만료일 없음",IF(L22&lt;$C$6,"만료 +"&amp;TEXT($C$6-L22,"0")&amp;"일",IF(L22-$C$6&lt;=30,"임박 "&amp;TEXT(L22-$C$6,"0")&amp;"일","유효"))))))</f>
        <v/>
      </c>
      <c r="X22" s="32" t="str">
        <f>IF(OR($A22="",O22&lt;&gt;"임대중"),"",IF(H22="",0,H22)+IF(I22="",0,I22))</f>
        <v/>
      </c>
      <c r="Y22" s="32" t="str">
        <f>IF(OR($A22="",O22&lt;&gt;"임대중",D22="",H22=""),"",ROUND((H22+IF(I22="",0,I22))/(D22/3.305785),0))</f>
        <v/>
      </c>
    </row>
    <row r="23" ht="18" customHeight="1" spans="1:25" x14ac:dyDescent="0.25">
      <c r="A23" s="25"/>
      <c r="B23" s="25"/>
      <c r="C23" s="26"/>
      <c r="D23" s="26"/>
      <c r="E23" s="27"/>
      <c r="F23" s="25"/>
      <c r="G23" s="28"/>
      <c r="H23" s="28"/>
      <c r="I23" s="28"/>
      <c r="J23" s="29"/>
      <c r="K23" s="29"/>
      <c r="L23" s="29"/>
      <c r="M23" s="25"/>
      <c r="N23" s="25"/>
      <c r="O23" s="25"/>
      <c r="P23" s="27"/>
      <c r="Q23" s="30" t="str">
        <f>IF(OR($A23="",C23=""),"",C23/3.305785)</f>
        <v/>
      </c>
      <c r="R23" s="30" t="str">
        <f>IF(OR($A23="",D23=""),"",D23/3.305785)</f>
        <v/>
      </c>
      <c r="S23" s="31" t="str">
        <f>IF(OR($A23="",C23="",D23=""),"",IF(C23&gt;0,D23/C23*100,""))</f>
        <v/>
      </c>
      <c r="T23" s="32" t="str">
        <f>IF(OR($A23="",O23&lt;&gt;"임대중",F23&lt;&gt;"상가",G23=""),"",G23+H23*100)</f>
        <v/>
      </c>
      <c r="U23" s="33" t="str">
        <f>IF(T23="","",IF(T23&lt;=$C$7,"○ 전면적용","× 초과 (5%상한 미적용)"))</f>
        <v/>
      </c>
      <c r="V23" s="33" t="str">
        <f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  <v/>
      </c>
      <c r="W23" s="33" t="str">
        <f>IF($A23="","",IF(O23="공실","공실",IF(O23="자가사용","자가사용",IF(L23="","만료일 없음",IF(L23&lt;$C$6,"만료 +"&amp;TEXT($C$6-L23,"0")&amp;"일",IF(L23-$C$6&lt;=30,"임박 "&amp;TEXT(L23-$C$6,"0")&amp;"일","유효"))))))</f>
        <v/>
      </c>
      <c r="X23" s="32" t="str">
        <f>IF(OR($A23="",O23&lt;&gt;"임대중"),"",IF(H23="",0,H23)+IF(I23="",0,I23))</f>
        <v/>
      </c>
      <c r="Y23" s="32" t="str">
        <f>IF(OR($A23="",O23&lt;&gt;"임대중",D23="",H23=""),"",ROUND((H23+IF(I23="",0,I23))/(D23/3.305785),0))</f>
        <v/>
      </c>
    </row>
    <row r="24" ht="18" customHeight="1" spans="1:25" x14ac:dyDescent="0.25">
      <c r="A24" s="25"/>
      <c r="B24" s="25"/>
      <c r="C24" s="26"/>
      <c r="D24" s="26"/>
      <c r="E24" s="27"/>
      <c r="F24" s="25"/>
      <c r="G24" s="28"/>
      <c r="H24" s="28"/>
      <c r="I24" s="28"/>
      <c r="J24" s="29"/>
      <c r="K24" s="29"/>
      <c r="L24" s="29"/>
      <c r="M24" s="25"/>
      <c r="N24" s="25"/>
      <c r="O24" s="25"/>
      <c r="P24" s="27"/>
      <c r="Q24" s="30" t="str">
        <f>IF(OR($A24="",C24=""),"",C24/3.305785)</f>
        <v/>
      </c>
      <c r="R24" s="30" t="str">
        <f>IF(OR($A24="",D24=""),"",D24/3.305785)</f>
        <v/>
      </c>
      <c r="S24" s="31" t="str">
        <f>IF(OR($A24="",C24="",D24=""),"",IF(C24&gt;0,D24/C24*100,""))</f>
        <v/>
      </c>
      <c r="T24" s="32" t="str">
        <f>IF(OR($A24="",O24&lt;&gt;"임대중",F24&lt;&gt;"상가",G24=""),"",G24+H24*100)</f>
        <v/>
      </c>
      <c r="U24" s="33" t="str">
        <f>IF(T24="","",IF(T24&lt;=$C$7,"○ 전면적용","× 초과 (5%상한 미적용)"))</f>
        <v/>
      </c>
      <c r="V24" s="33" t="str">
        <f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  <v/>
      </c>
      <c r="W24" s="33" t="str">
        <f>IF($A24="","",IF(O24="공실","공실",IF(O24="자가사용","자가사용",IF(L24="","만료일 없음",IF(L24&lt;$C$6,"만료 +"&amp;TEXT($C$6-L24,"0")&amp;"일",IF(L24-$C$6&lt;=30,"임박 "&amp;TEXT(L24-$C$6,"0")&amp;"일","유효"))))))</f>
        <v/>
      </c>
      <c r="X24" s="32" t="str">
        <f>IF(OR($A24="",O24&lt;&gt;"임대중"),"",IF(H24="",0,H24)+IF(I24="",0,I24))</f>
        <v/>
      </c>
      <c r="Y24" s="32" t="str">
        <f>IF(OR($A24="",O24&lt;&gt;"임대중",D24="",H24=""),"",ROUND((H24+IF(I24="",0,I24))/(D24/3.305785),0))</f>
        <v/>
      </c>
    </row>
    <row r="25" ht="18" customHeight="1" spans="1:25" x14ac:dyDescent="0.25">
      <c r="A25" s="25"/>
      <c r="B25" s="25"/>
      <c r="C25" s="26"/>
      <c r="D25" s="26"/>
      <c r="E25" s="27"/>
      <c r="F25" s="25"/>
      <c r="G25" s="28"/>
      <c r="H25" s="28"/>
      <c r="I25" s="28"/>
      <c r="J25" s="29"/>
      <c r="K25" s="29"/>
      <c r="L25" s="29"/>
      <c r="M25" s="25"/>
      <c r="N25" s="25"/>
      <c r="O25" s="25"/>
      <c r="P25" s="27"/>
      <c r="Q25" s="30" t="str">
        <f>IF(OR($A25="",C25=""),"",C25/3.305785)</f>
        <v/>
      </c>
      <c r="R25" s="30" t="str">
        <f>IF(OR($A25="",D25=""),"",D25/3.305785)</f>
        <v/>
      </c>
      <c r="S25" s="31" t="str">
        <f>IF(OR($A25="",C25="",D25=""),"",IF(C25&gt;0,D25/C25*100,""))</f>
        <v/>
      </c>
      <c r="T25" s="32" t="str">
        <f>IF(OR($A25="",O25&lt;&gt;"임대중",F25&lt;&gt;"상가",G25=""),"",G25+H25*100)</f>
        <v/>
      </c>
      <c r="U25" s="33" t="str">
        <f>IF(T25="","",IF(T25&lt;=$C$7,"○ 전면적용","× 초과 (5%상한 미적용)"))</f>
        <v/>
      </c>
      <c r="V25" s="33" t="str">
        <f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  <v/>
      </c>
      <c r="W25" s="33" t="str">
        <f>IF($A25="","",IF(O25="공실","공실",IF(O25="자가사용","자가사용",IF(L25="","만료일 없음",IF(L25&lt;$C$6,"만료 +"&amp;TEXT($C$6-L25,"0")&amp;"일",IF(L25-$C$6&lt;=30,"임박 "&amp;TEXT(L25-$C$6,"0")&amp;"일","유효"))))))</f>
        <v/>
      </c>
      <c r="X25" s="32" t="str">
        <f>IF(OR($A25="",O25&lt;&gt;"임대중"),"",IF(H25="",0,H25)+IF(I25="",0,I25))</f>
        <v/>
      </c>
      <c r="Y25" s="32" t="str">
        <f>IF(OR($A25="",O25&lt;&gt;"임대중",D25="",H25=""),"",ROUND((H25+IF(I25="",0,I25))/(D25/3.305785),0))</f>
        <v/>
      </c>
    </row>
    <row r="26" ht="18" customHeight="1" spans="1:25" x14ac:dyDescent="0.25">
      <c r="A26" s="25"/>
      <c r="B26" s="25"/>
      <c r="C26" s="26"/>
      <c r="D26" s="26"/>
      <c r="E26" s="27"/>
      <c r="F26" s="25"/>
      <c r="G26" s="28"/>
      <c r="H26" s="28"/>
      <c r="I26" s="28"/>
      <c r="J26" s="29"/>
      <c r="K26" s="29"/>
      <c r="L26" s="29"/>
      <c r="M26" s="25"/>
      <c r="N26" s="25"/>
      <c r="O26" s="25"/>
      <c r="P26" s="27"/>
      <c r="Q26" s="30" t="str">
        <f>IF(OR($A26="",C26=""),"",C26/3.305785)</f>
        <v/>
      </c>
      <c r="R26" s="30" t="str">
        <f>IF(OR($A26="",D26=""),"",D26/3.305785)</f>
        <v/>
      </c>
      <c r="S26" s="31" t="str">
        <f>IF(OR($A26="",C26="",D26=""),"",IF(C26&gt;0,D26/C26*100,""))</f>
        <v/>
      </c>
      <c r="T26" s="32" t="str">
        <f>IF(OR($A26="",O26&lt;&gt;"임대중",F26&lt;&gt;"상가",G26=""),"",G26+H26*100)</f>
        <v/>
      </c>
      <c r="U26" s="33" t="str">
        <f>IF(T26="","",IF(T26&lt;=$C$7,"○ 전면적용","× 초과 (5%상한 미적용)"))</f>
        <v/>
      </c>
      <c r="V26" s="33" t="str">
        <f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  <v/>
      </c>
      <c r="W26" s="33" t="str">
        <f>IF($A26="","",IF(O26="공실","공실",IF(O26="자가사용","자가사용",IF(L26="","만료일 없음",IF(L26&lt;$C$6,"만료 +"&amp;TEXT($C$6-L26,"0")&amp;"일",IF(L26-$C$6&lt;=30,"임박 "&amp;TEXT(L26-$C$6,"0")&amp;"일","유효"))))))</f>
        <v/>
      </c>
      <c r="X26" s="32" t="str">
        <f>IF(OR($A26="",O26&lt;&gt;"임대중"),"",IF(H26="",0,H26)+IF(I26="",0,I26))</f>
        <v/>
      </c>
      <c r="Y26" s="32" t="str">
        <f>IF(OR($A26="",O26&lt;&gt;"임대중",D26="",H26=""),"",ROUND((H26+IF(I26="",0,I26))/(D26/3.305785),0))</f>
        <v/>
      </c>
    </row>
    <row r="27" ht="18" customHeight="1" spans="1:25" x14ac:dyDescent="0.25">
      <c r="A27" s="25"/>
      <c r="B27" s="25"/>
      <c r="C27" s="26"/>
      <c r="D27" s="26"/>
      <c r="E27" s="27"/>
      <c r="F27" s="25"/>
      <c r="G27" s="28"/>
      <c r="H27" s="28"/>
      <c r="I27" s="28"/>
      <c r="J27" s="29"/>
      <c r="K27" s="29"/>
      <c r="L27" s="29"/>
      <c r="M27" s="25"/>
      <c r="N27" s="25"/>
      <c r="O27" s="25"/>
      <c r="P27" s="27"/>
      <c r="Q27" s="30" t="str">
        <f>IF(OR($A27="",C27=""),"",C27/3.305785)</f>
        <v/>
      </c>
      <c r="R27" s="30" t="str">
        <f>IF(OR($A27="",D27=""),"",D27/3.305785)</f>
        <v/>
      </c>
      <c r="S27" s="31" t="str">
        <f>IF(OR($A27="",C27="",D27=""),"",IF(C27&gt;0,D27/C27*100,""))</f>
        <v/>
      </c>
      <c r="T27" s="32" t="str">
        <f>IF(OR($A27="",O27&lt;&gt;"임대중",F27&lt;&gt;"상가",G27=""),"",G27+H27*100)</f>
        <v/>
      </c>
      <c r="U27" s="33" t="str">
        <f>IF(T27="","",IF(T27&lt;=$C$7,"○ 전면적용","× 초과 (5%상한 미적용)"))</f>
        <v/>
      </c>
      <c r="V27" s="33" t="str">
        <f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  <v/>
      </c>
      <c r="W27" s="33" t="str">
        <f>IF($A27="","",IF(O27="공실","공실",IF(O27="자가사용","자가사용",IF(L27="","만료일 없음",IF(L27&lt;$C$6,"만료 +"&amp;TEXT($C$6-L27,"0")&amp;"일",IF(L27-$C$6&lt;=30,"임박 "&amp;TEXT(L27-$C$6,"0")&amp;"일","유효"))))))</f>
        <v/>
      </c>
      <c r="X27" s="32" t="str">
        <f>IF(OR($A27="",O27&lt;&gt;"임대중"),"",IF(H27="",0,H27)+IF(I27="",0,I27))</f>
        <v/>
      </c>
      <c r="Y27" s="32" t="str">
        <f>IF(OR($A27="",O27&lt;&gt;"임대중",D27="",H27=""),"",ROUND((H27+IF(I27="",0,I27))/(D27/3.305785),0))</f>
        <v/>
      </c>
    </row>
    <row r="28" ht="18" customHeight="1" spans="1:25" x14ac:dyDescent="0.25">
      <c r="A28" s="25"/>
      <c r="B28" s="25"/>
      <c r="C28" s="26"/>
      <c r="D28" s="26"/>
      <c r="E28" s="27"/>
      <c r="F28" s="25"/>
      <c r="G28" s="28"/>
      <c r="H28" s="28"/>
      <c r="I28" s="28"/>
      <c r="J28" s="29"/>
      <c r="K28" s="29"/>
      <c r="L28" s="29"/>
      <c r="M28" s="25"/>
      <c r="N28" s="25"/>
      <c r="O28" s="25"/>
      <c r="P28" s="27"/>
      <c r="Q28" s="30" t="str">
        <f>IF(OR($A28="",C28=""),"",C28/3.305785)</f>
        <v/>
      </c>
      <c r="R28" s="30" t="str">
        <f>IF(OR($A28="",D28=""),"",D28/3.305785)</f>
        <v/>
      </c>
      <c r="S28" s="31" t="str">
        <f>IF(OR($A28="",C28="",D28=""),"",IF(C28&gt;0,D28/C28*100,""))</f>
        <v/>
      </c>
      <c r="T28" s="32" t="str">
        <f>IF(OR($A28="",O28&lt;&gt;"임대중",F28&lt;&gt;"상가",G28=""),"",G28+H28*100)</f>
        <v/>
      </c>
      <c r="U28" s="33" t="str">
        <f>IF(T28="","",IF(T28&lt;=$C$7,"○ 전면적용","× 초과 (5%상한 미적용)"))</f>
        <v/>
      </c>
      <c r="V28" s="33" t="str">
        <f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  <v/>
      </c>
      <c r="W28" s="33" t="str">
        <f>IF($A28="","",IF(O28="공실","공실",IF(O28="자가사용","자가사용",IF(L28="","만료일 없음",IF(L28&lt;$C$6,"만료 +"&amp;TEXT($C$6-L28,"0")&amp;"일",IF(L28-$C$6&lt;=30,"임박 "&amp;TEXT(L28-$C$6,"0")&amp;"일","유효"))))))</f>
        <v/>
      </c>
      <c r="X28" s="32" t="str">
        <f>IF(OR($A28="",O28&lt;&gt;"임대중"),"",IF(H28="",0,H28)+IF(I28="",0,I28))</f>
        <v/>
      </c>
      <c r="Y28" s="32" t="str">
        <f>IF(OR($A28="",O28&lt;&gt;"임대중",D28="",H28=""),"",ROUND((H28+IF(I28="",0,I28))/(D28/3.305785),0))</f>
        <v/>
      </c>
    </row>
    <row r="29" ht="18" customHeight="1" spans="1:25" x14ac:dyDescent="0.25">
      <c r="A29" s="25"/>
      <c r="B29" s="25"/>
      <c r="C29" s="26"/>
      <c r="D29" s="26"/>
      <c r="E29" s="27"/>
      <c r="F29" s="25"/>
      <c r="G29" s="28"/>
      <c r="H29" s="28"/>
      <c r="I29" s="28"/>
      <c r="J29" s="29"/>
      <c r="K29" s="29"/>
      <c r="L29" s="29"/>
      <c r="M29" s="25"/>
      <c r="N29" s="25"/>
      <c r="O29" s="25"/>
      <c r="P29" s="27"/>
      <c r="Q29" s="30" t="str">
        <f>IF(OR($A29="",C29=""),"",C29/3.305785)</f>
        <v/>
      </c>
      <c r="R29" s="30" t="str">
        <f>IF(OR($A29="",D29=""),"",D29/3.305785)</f>
        <v/>
      </c>
      <c r="S29" s="31" t="str">
        <f>IF(OR($A29="",C29="",D29=""),"",IF(C29&gt;0,D29/C29*100,""))</f>
        <v/>
      </c>
      <c r="T29" s="32" t="str">
        <f>IF(OR($A29="",O29&lt;&gt;"임대중",F29&lt;&gt;"상가",G29=""),"",G29+H29*100)</f>
        <v/>
      </c>
      <c r="U29" s="33" t="str">
        <f>IF(T29="","",IF(T29&lt;=$C$7,"○ 전면적용","× 초과 (5%상한 미적용)"))</f>
        <v/>
      </c>
      <c r="V29" s="33" t="str">
        <f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  <v/>
      </c>
      <c r="W29" s="33" t="str">
        <f>IF($A29="","",IF(O29="공실","공실",IF(O29="자가사용","자가사용",IF(L29="","만료일 없음",IF(L29&lt;$C$6,"만료 +"&amp;TEXT($C$6-L29,"0")&amp;"일",IF(L29-$C$6&lt;=30,"임박 "&amp;TEXT(L29-$C$6,"0")&amp;"일","유효"))))))</f>
        <v/>
      </c>
      <c r="X29" s="32" t="str">
        <f>IF(OR($A29="",O29&lt;&gt;"임대중"),"",IF(H29="",0,H29)+IF(I29="",0,I29))</f>
        <v/>
      </c>
      <c r="Y29" s="32" t="str">
        <f>IF(OR($A29="",O29&lt;&gt;"임대중",D29="",H29=""),"",ROUND((H29+IF(I29="",0,I29))/(D29/3.305785),0))</f>
        <v/>
      </c>
    </row>
    <row r="30" ht="18" customHeight="1" spans="1:25" x14ac:dyDescent="0.25">
      <c r="A30" s="25"/>
      <c r="B30" s="25"/>
      <c r="C30" s="26"/>
      <c r="D30" s="26"/>
      <c r="E30" s="27"/>
      <c r="F30" s="25"/>
      <c r="G30" s="28"/>
      <c r="H30" s="28"/>
      <c r="I30" s="28"/>
      <c r="J30" s="29"/>
      <c r="K30" s="29"/>
      <c r="L30" s="29"/>
      <c r="M30" s="25"/>
      <c r="N30" s="25"/>
      <c r="O30" s="25"/>
      <c r="P30" s="27"/>
      <c r="Q30" s="30" t="str">
        <f>IF(OR($A30="",C30=""),"",C30/3.305785)</f>
        <v/>
      </c>
      <c r="R30" s="30" t="str">
        <f>IF(OR($A30="",D30=""),"",D30/3.305785)</f>
        <v/>
      </c>
      <c r="S30" s="31" t="str">
        <f>IF(OR($A30="",C30="",D30=""),"",IF(C30&gt;0,D30/C30*100,""))</f>
        <v/>
      </c>
      <c r="T30" s="32" t="str">
        <f>IF(OR($A30="",O30&lt;&gt;"임대중",F30&lt;&gt;"상가",G30=""),"",G30+H30*100)</f>
        <v/>
      </c>
      <c r="U30" s="33" t="str">
        <f>IF(T30="","",IF(T30&lt;=$C$7,"○ 전면적용","× 초과 (5%상한 미적용)"))</f>
        <v/>
      </c>
      <c r="V30" s="33" t="str">
        <f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  <v/>
      </c>
      <c r="W30" s="33" t="str">
        <f>IF($A30="","",IF(O30="공실","공실",IF(O30="자가사용","자가사용",IF(L30="","만료일 없음",IF(L30&lt;$C$6,"만료 +"&amp;TEXT($C$6-L30,"0")&amp;"일",IF(L30-$C$6&lt;=30,"임박 "&amp;TEXT(L30-$C$6,"0")&amp;"일","유효"))))))</f>
        <v/>
      </c>
      <c r="X30" s="32" t="str">
        <f>IF(OR($A30="",O30&lt;&gt;"임대중"),"",IF(H30="",0,H30)+IF(I30="",0,I30))</f>
        <v/>
      </c>
      <c r="Y30" s="32" t="str">
        <f>IF(OR($A30="",O30&lt;&gt;"임대중",D30="",H30=""),"",ROUND((H30+IF(I30="",0,I30))/(D30/3.305785),0))</f>
        <v/>
      </c>
    </row>
    <row r="31" ht="18" customHeight="1" spans="1:25" x14ac:dyDescent="0.25">
      <c r="A31" s="25"/>
      <c r="B31" s="25"/>
      <c r="C31" s="26"/>
      <c r="D31" s="26"/>
      <c r="E31" s="27"/>
      <c r="F31" s="25"/>
      <c r="G31" s="28"/>
      <c r="H31" s="28"/>
      <c r="I31" s="28"/>
      <c r="J31" s="29"/>
      <c r="K31" s="29"/>
      <c r="L31" s="29"/>
      <c r="M31" s="25"/>
      <c r="N31" s="25"/>
      <c r="O31" s="25"/>
      <c r="P31" s="27"/>
      <c r="Q31" s="30" t="str">
        <f>IF(OR($A31="",C31=""),"",C31/3.305785)</f>
        <v/>
      </c>
      <c r="R31" s="30" t="str">
        <f>IF(OR($A31="",D31=""),"",D31/3.305785)</f>
        <v/>
      </c>
      <c r="S31" s="31" t="str">
        <f>IF(OR($A31="",C31="",D31=""),"",IF(C31&gt;0,D31/C31*100,""))</f>
        <v/>
      </c>
      <c r="T31" s="32" t="str">
        <f>IF(OR($A31="",O31&lt;&gt;"임대중",F31&lt;&gt;"상가",G31=""),"",G31+H31*100)</f>
        <v/>
      </c>
      <c r="U31" s="33" t="str">
        <f>IF(T31="","",IF(T31&lt;=$C$7,"○ 전면적용","× 초과 (5%상한 미적용)"))</f>
        <v/>
      </c>
      <c r="V31" s="33" t="str">
        <f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  <v/>
      </c>
      <c r="W31" s="33" t="str">
        <f>IF($A31="","",IF(O31="공실","공실",IF(O31="자가사용","자가사용",IF(L31="","만료일 없음",IF(L31&lt;$C$6,"만료 +"&amp;TEXT($C$6-L31,"0")&amp;"일",IF(L31-$C$6&lt;=30,"임박 "&amp;TEXT(L31-$C$6,"0")&amp;"일","유효"))))))</f>
        <v/>
      </c>
      <c r="X31" s="32" t="str">
        <f>IF(OR($A31="",O31&lt;&gt;"임대중"),"",IF(H31="",0,H31)+IF(I31="",0,I31))</f>
        <v/>
      </c>
      <c r="Y31" s="32" t="str">
        <f>IF(OR($A31="",O31&lt;&gt;"임대중",D31="",H31=""),"",ROUND((H31+IF(I31="",0,I31))/(D31/3.305785),0))</f>
        <v/>
      </c>
    </row>
    <row r="32" ht="18" customHeight="1" spans="1:25" x14ac:dyDescent="0.25">
      <c r="A32" s="25"/>
      <c r="B32" s="25"/>
      <c r="C32" s="26"/>
      <c r="D32" s="26"/>
      <c r="E32" s="27"/>
      <c r="F32" s="25"/>
      <c r="G32" s="28"/>
      <c r="H32" s="28"/>
      <c r="I32" s="28"/>
      <c r="J32" s="29"/>
      <c r="K32" s="29"/>
      <c r="L32" s="29"/>
      <c r="M32" s="25"/>
      <c r="N32" s="25"/>
      <c r="O32" s="25"/>
      <c r="P32" s="27"/>
      <c r="Q32" s="30" t="str">
        <f>IF(OR($A32="",C32=""),"",C32/3.305785)</f>
        <v/>
      </c>
      <c r="R32" s="30" t="str">
        <f>IF(OR($A32="",D32=""),"",D32/3.305785)</f>
        <v/>
      </c>
      <c r="S32" s="31" t="str">
        <f>IF(OR($A32="",C32="",D32=""),"",IF(C32&gt;0,D32/C32*100,""))</f>
        <v/>
      </c>
      <c r="T32" s="32" t="str">
        <f>IF(OR($A32="",O32&lt;&gt;"임대중",F32&lt;&gt;"상가",G32=""),"",G32+H32*100)</f>
        <v/>
      </c>
      <c r="U32" s="33" t="str">
        <f>IF(T32="","",IF(T32&lt;=$C$7,"○ 전면적용","× 초과 (5%상한 미적용)"))</f>
        <v/>
      </c>
      <c r="V32" s="33" t="str">
        <f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  <v/>
      </c>
      <c r="W32" s="33" t="str">
        <f>IF($A32="","",IF(O32="공실","공실",IF(O32="자가사용","자가사용",IF(L32="","만료일 없음",IF(L32&lt;$C$6,"만료 +"&amp;TEXT($C$6-L32,"0")&amp;"일",IF(L32-$C$6&lt;=30,"임박 "&amp;TEXT(L32-$C$6,"0")&amp;"일","유효"))))))</f>
        <v/>
      </c>
      <c r="X32" s="32" t="str">
        <f>IF(OR($A32="",O32&lt;&gt;"임대중"),"",IF(H32="",0,H32)+IF(I32="",0,I32))</f>
        <v/>
      </c>
      <c r="Y32" s="32" t="str">
        <f>IF(OR($A32="",O32&lt;&gt;"임대중",D32="",H32=""),"",ROUND((H32+IF(I32="",0,I32))/(D32/3.305785),0))</f>
        <v/>
      </c>
    </row>
    <row r="33" ht="18" customHeight="1" spans="1:25" x14ac:dyDescent="0.25">
      <c r="A33" s="25"/>
      <c r="B33" s="25"/>
      <c r="C33" s="26"/>
      <c r="D33" s="26"/>
      <c r="E33" s="27"/>
      <c r="F33" s="25"/>
      <c r="G33" s="28"/>
      <c r="H33" s="28"/>
      <c r="I33" s="28"/>
      <c r="J33" s="29"/>
      <c r="K33" s="29"/>
      <c r="L33" s="29"/>
      <c r="M33" s="25"/>
      <c r="N33" s="25"/>
      <c r="O33" s="25"/>
      <c r="P33" s="27"/>
      <c r="Q33" s="30" t="str">
        <f>IF(OR($A33="",C33=""),"",C33/3.305785)</f>
        <v/>
      </c>
      <c r="R33" s="30" t="str">
        <f>IF(OR($A33="",D33=""),"",D33/3.305785)</f>
        <v/>
      </c>
      <c r="S33" s="31" t="str">
        <f>IF(OR($A33="",C33="",D33=""),"",IF(C33&gt;0,D33/C33*100,""))</f>
        <v/>
      </c>
      <c r="T33" s="32" t="str">
        <f>IF(OR($A33="",O33&lt;&gt;"임대중",F33&lt;&gt;"상가",G33=""),"",G33+H33*100)</f>
        <v/>
      </c>
      <c r="U33" s="33" t="str">
        <f>IF(T33="","",IF(T33&lt;=$C$7,"○ 전면적용","× 초과 (5%상한 미적용)"))</f>
        <v/>
      </c>
      <c r="V33" s="33" t="str">
        <f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  <v/>
      </c>
      <c r="W33" s="33" t="str">
        <f>IF($A33="","",IF(O33="공실","공실",IF(O33="자가사용","자가사용",IF(L33="","만료일 없음",IF(L33&lt;$C$6,"만료 +"&amp;TEXT($C$6-L33,"0")&amp;"일",IF(L33-$C$6&lt;=30,"임박 "&amp;TEXT(L33-$C$6,"0")&amp;"일","유효"))))))</f>
        <v/>
      </c>
      <c r="X33" s="32" t="str">
        <f>IF(OR($A33="",O33&lt;&gt;"임대중"),"",IF(H33="",0,H33)+IF(I33="",0,I33))</f>
        <v/>
      </c>
      <c r="Y33" s="32" t="str">
        <f>IF(OR($A33="",O33&lt;&gt;"임대중",D33="",H33=""),"",ROUND((H33+IF(I33="",0,I33))/(D33/3.305785),0))</f>
        <v/>
      </c>
    </row>
    <row r="34" ht="18" customHeight="1" spans="1:25" x14ac:dyDescent="0.25">
      <c r="A34" s="25"/>
      <c r="B34" s="25"/>
      <c r="C34" s="26"/>
      <c r="D34" s="26"/>
      <c r="E34" s="27"/>
      <c r="F34" s="25"/>
      <c r="G34" s="28"/>
      <c r="H34" s="28"/>
      <c r="I34" s="28"/>
      <c r="J34" s="29"/>
      <c r="K34" s="29"/>
      <c r="L34" s="29"/>
      <c r="M34" s="25"/>
      <c r="N34" s="25"/>
      <c r="O34" s="25"/>
      <c r="P34" s="27"/>
      <c r="Q34" s="30" t="str">
        <f>IF(OR($A34="",C34=""),"",C34/3.305785)</f>
        <v/>
      </c>
      <c r="R34" s="30" t="str">
        <f>IF(OR($A34="",D34=""),"",D34/3.305785)</f>
        <v/>
      </c>
      <c r="S34" s="31" t="str">
        <f>IF(OR($A34="",C34="",D34=""),"",IF(C34&gt;0,D34/C34*100,""))</f>
        <v/>
      </c>
      <c r="T34" s="32" t="str">
        <f>IF(OR($A34="",O34&lt;&gt;"임대중",F34&lt;&gt;"상가",G34=""),"",G34+H34*100)</f>
        <v/>
      </c>
      <c r="U34" s="33" t="str">
        <f>IF(T34="","",IF(T34&lt;=$C$7,"○ 전면적용","× 초과 (5%상한 미적용)"))</f>
        <v/>
      </c>
      <c r="V34" s="33" t="str">
        <f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  <v/>
      </c>
      <c r="W34" s="33" t="str">
        <f>IF($A34="","",IF(O34="공실","공실",IF(O34="자가사용","자가사용",IF(L34="","만료일 없음",IF(L34&lt;$C$6,"만료 +"&amp;TEXT($C$6-L34,"0")&amp;"일",IF(L34-$C$6&lt;=30,"임박 "&amp;TEXT(L34-$C$6,"0")&amp;"일","유효"))))))</f>
        <v/>
      </c>
      <c r="X34" s="32" t="str">
        <f>IF(OR($A34="",O34&lt;&gt;"임대중"),"",IF(H34="",0,H34)+IF(I34="",0,I34))</f>
        <v/>
      </c>
      <c r="Y34" s="32" t="str">
        <f>IF(OR($A34="",O34&lt;&gt;"임대중",D34="",H34=""),"",ROUND((H34+IF(I34="",0,I34))/(D34/3.305785),0))</f>
        <v/>
      </c>
    </row>
    <row r="35" ht="18" customHeight="1" spans="1:25" x14ac:dyDescent="0.25">
      <c r="A35" s="25"/>
      <c r="B35" s="25"/>
      <c r="C35" s="26"/>
      <c r="D35" s="26"/>
      <c r="E35" s="27"/>
      <c r="F35" s="25"/>
      <c r="G35" s="28"/>
      <c r="H35" s="28"/>
      <c r="I35" s="28"/>
      <c r="J35" s="29"/>
      <c r="K35" s="29"/>
      <c r="L35" s="29"/>
      <c r="M35" s="25"/>
      <c r="N35" s="25"/>
      <c r="O35" s="25"/>
      <c r="P35" s="27"/>
      <c r="Q35" s="30" t="str">
        <f>IF(OR($A35="",C35=""),"",C35/3.305785)</f>
        <v/>
      </c>
      <c r="R35" s="30" t="str">
        <f>IF(OR($A35="",D35=""),"",D35/3.305785)</f>
        <v/>
      </c>
      <c r="S35" s="31" t="str">
        <f>IF(OR($A35="",C35="",D35=""),"",IF(C35&gt;0,D35/C35*100,""))</f>
        <v/>
      </c>
      <c r="T35" s="32" t="str">
        <f>IF(OR($A35="",O35&lt;&gt;"임대중",F35&lt;&gt;"상가",G35=""),"",G35+H35*100)</f>
        <v/>
      </c>
      <c r="U35" s="33" t="str">
        <f>IF(T35="","",IF(T35&lt;=$C$7,"○ 전면적용","× 초과 (5%상한 미적용)"))</f>
        <v/>
      </c>
      <c r="V35" s="33" t="str">
        <f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  <v/>
      </c>
      <c r="W35" s="33" t="str">
        <f>IF($A35="","",IF(O35="공실","공실",IF(O35="자가사용","자가사용",IF(L35="","만료일 없음",IF(L35&lt;$C$6,"만료 +"&amp;TEXT($C$6-L35,"0")&amp;"일",IF(L35-$C$6&lt;=30,"임박 "&amp;TEXT(L35-$C$6,"0")&amp;"일","유효"))))))</f>
        <v/>
      </c>
      <c r="X35" s="32" t="str">
        <f>IF(OR($A35="",O35&lt;&gt;"임대중"),"",IF(H35="",0,H35)+IF(I35="",0,I35))</f>
        <v/>
      </c>
      <c r="Y35" s="32" t="str">
        <f>IF(OR($A35="",O35&lt;&gt;"임대중",D35="",H35=""),"",ROUND((H35+IF(I35="",0,I35))/(D35/3.305785),0))</f>
        <v/>
      </c>
    </row>
    <row r="36" ht="18" customHeight="1" spans="1:25" x14ac:dyDescent="0.25">
      <c r="A36" s="25"/>
      <c r="B36" s="25"/>
      <c r="C36" s="26"/>
      <c r="D36" s="26"/>
      <c r="E36" s="27"/>
      <c r="F36" s="25"/>
      <c r="G36" s="28"/>
      <c r="H36" s="28"/>
      <c r="I36" s="28"/>
      <c r="J36" s="29"/>
      <c r="K36" s="29"/>
      <c r="L36" s="29"/>
      <c r="M36" s="25"/>
      <c r="N36" s="25"/>
      <c r="O36" s="25"/>
      <c r="P36" s="27"/>
      <c r="Q36" s="30" t="str">
        <f>IF(OR($A36="",C36=""),"",C36/3.305785)</f>
        <v/>
      </c>
      <c r="R36" s="30" t="str">
        <f>IF(OR($A36="",D36=""),"",D36/3.305785)</f>
        <v/>
      </c>
      <c r="S36" s="31" t="str">
        <f>IF(OR($A36="",C36="",D36=""),"",IF(C36&gt;0,D36/C36*100,""))</f>
        <v/>
      </c>
      <c r="T36" s="32" t="str">
        <f>IF(OR($A36="",O36&lt;&gt;"임대중",F36&lt;&gt;"상가",G36=""),"",G36+H36*100)</f>
        <v/>
      </c>
      <c r="U36" s="33" t="str">
        <f>IF(T36="","",IF(T36&lt;=$C$7,"○ 전면적용","× 초과 (5%상한 미적용)"))</f>
        <v/>
      </c>
      <c r="V36" s="33" t="str">
        <f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  <v/>
      </c>
      <c r="W36" s="33" t="str">
        <f>IF($A36="","",IF(O36="공실","공실",IF(O36="자가사용","자가사용",IF(L36="","만료일 없음",IF(L36&lt;$C$6,"만료 +"&amp;TEXT($C$6-L36,"0")&amp;"일",IF(L36-$C$6&lt;=30,"임박 "&amp;TEXT(L36-$C$6,"0")&amp;"일","유효"))))))</f>
        <v/>
      </c>
      <c r="X36" s="32" t="str">
        <f>IF(OR($A36="",O36&lt;&gt;"임대중"),"",IF(H36="",0,H36)+IF(I36="",0,I36))</f>
        <v/>
      </c>
      <c r="Y36" s="32" t="str">
        <f>IF(OR($A36="",O36&lt;&gt;"임대중",D36="",H36=""),"",ROUND((H36+IF(I36="",0,I36))/(D36/3.305785),0))</f>
        <v/>
      </c>
    </row>
    <row r="37" ht="18" customHeight="1" spans="1:25" x14ac:dyDescent="0.25">
      <c r="A37" s="25"/>
      <c r="B37" s="25"/>
      <c r="C37" s="26"/>
      <c r="D37" s="26"/>
      <c r="E37" s="27"/>
      <c r="F37" s="25"/>
      <c r="G37" s="28"/>
      <c r="H37" s="28"/>
      <c r="I37" s="28"/>
      <c r="J37" s="29"/>
      <c r="K37" s="29"/>
      <c r="L37" s="29"/>
      <c r="M37" s="25"/>
      <c r="N37" s="25"/>
      <c r="O37" s="25"/>
      <c r="P37" s="27"/>
      <c r="Q37" s="30" t="str">
        <f>IF(OR($A37="",C37=""),"",C37/3.305785)</f>
        <v/>
      </c>
      <c r="R37" s="30" t="str">
        <f>IF(OR($A37="",D37=""),"",D37/3.305785)</f>
        <v/>
      </c>
      <c r="S37" s="31" t="str">
        <f>IF(OR($A37="",C37="",D37=""),"",IF(C37&gt;0,D37/C37*100,""))</f>
        <v/>
      </c>
      <c r="T37" s="32" t="str">
        <f>IF(OR($A37="",O37&lt;&gt;"임대중",F37&lt;&gt;"상가",G37=""),"",G37+H37*100)</f>
        <v/>
      </c>
      <c r="U37" s="33" t="str">
        <f>IF(T37="","",IF(T37&lt;=$C$7,"○ 전면적용","× 초과 (5%상한 미적용)"))</f>
        <v/>
      </c>
      <c r="V37" s="33" t="str">
        <f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  <v/>
      </c>
      <c r="W37" s="33" t="str">
        <f>IF($A37="","",IF(O37="공실","공실",IF(O37="자가사용","자가사용",IF(L37="","만료일 없음",IF(L37&lt;$C$6,"만료 +"&amp;TEXT($C$6-L37,"0")&amp;"일",IF(L37-$C$6&lt;=30,"임박 "&amp;TEXT(L37-$C$6,"0")&amp;"일","유효"))))))</f>
        <v/>
      </c>
      <c r="X37" s="32" t="str">
        <f>IF(OR($A37="",O37&lt;&gt;"임대중"),"",IF(H37="",0,H37)+IF(I37="",0,I37))</f>
        <v/>
      </c>
      <c r="Y37" s="32" t="str">
        <f>IF(OR($A37="",O37&lt;&gt;"임대중",D37="",H37=""),"",ROUND((H37+IF(I37="",0,I37))/(D37/3.305785),0))</f>
        <v/>
      </c>
    </row>
    <row r="38" ht="18" customHeight="1" spans="1:25" x14ac:dyDescent="0.25">
      <c r="A38" s="25"/>
      <c r="B38" s="25"/>
      <c r="C38" s="26"/>
      <c r="D38" s="26"/>
      <c r="E38" s="27"/>
      <c r="F38" s="25"/>
      <c r="G38" s="28"/>
      <c r="H38" s="28"/>
      <c r="I38" s="28"/>
      <c r="J38" s="29"/>
      <c r="K38" s="29"/>
      <c r="L38" s="29"/>
      <c r="M38" s="25"/>
      <c r="N38" s="25"/>
      <c r="O38" s="25"/>
      <c r="P38" s="27"/>
      <c r="Q38" s="30" t="str">
        <f>IF(OR($A38="",C38=""),"",C38/3.305785)</f>
        <v/>
      </c>
      <c r="R38" s="30" t="str">
        <f>IF(OR($A38="",D38=""),"",D38/3.305785)</f>
        <v/>
      </c>
      <c r="S38" s="31" t="str">
        <f>IF(OR($A38="",C38="",D38=""),"",IF(C38&gt;0,D38/C38*100,""))</f>
        <v/>
      </c>
      <c r="T38" s="32" t="str">
        <f>IF(OR($A38="",O38&lt;&gt;"임대중",F38&lt;&gt;"상가",G38=""),"",G38+H38*100)</f>
        <v/>
      </c>
      <c r="U38" s="33" t="str">
        <f>IF(T38="","",IF(T38&lt;=$C$7,"○ 전면적용","× 초과 (5%상한 미적용)"))</f>
        <v/>
      </c>
      <c r="V38" s="33" t="str">
        <f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  <v/>
      </c>
      <c r="W38" s="33" t="str">
        <f>IF($A38="","",IF(O38="공실","공실",IF(O38="자가사용","자가사용",IF(L38="","만료일 없음",IF(L38&lt;$C$6,"만료 +"&amp;TEXT($C$6-L38,"0")&amp;"일",IF(L38-$C$6&lt;=30,"임박 "&amp;TEXT(L38-$C$6,"0")&amp;"일","유효"))))))</f>
        <v/>
      </c>
      <c r="X38" s="32" t="str">
        <f>IF(OR($A38="",O38&lt;&gt;"임대중"),"",IF(H38="",0,H38)+IF(I38="",0,I38))</f>
        <v/>
      </c>
      <c r="Y38" s="32" t="str">
        <f>IF(OR($A38="",O38&lt;&gt;"임대중",D38="",H38=""),"",ROUND((H38+IF(I38="",0,I38))/(D38/3.305785),0))</f>
        <v/>
      </c>
    </row>
    <row r="39" ht="18" customHeight="1" spans="1:25" x14ac:dyDescent="0.25">
      <c r="A39" s="25"/>
      <c r="B39" s="25"/>
      <c r="C39" s="26"/>
      <c r="D39" s="26"/>
      <c r="E39" s="27"/>
      <c r="F39" s="25"/>
      <c r="G39" s="28"/>
      <c r="H39" s="28"/>
      <c r="I39" s="28"/>
      <c r="J39" s="29"/>
      <c r="K39" s="29"/>
      <c r="L39" s="29"/>
      <c r="M39" s="25"/>
      <c r="N39" s="25"/>
      <c r="O39" s="25"/>
      <c r="P39" s="27"/>
      <c r="Q39" s="30" t="str">
        <f>IF(OR($A39="",C39=""),"",C39/3.305785)</f>
        <v/>
      </c>
      <c r="R39" s="30" t="str">
        <f>IF(OR($A39="",D39=""),"",D39/3.305785)</f>
        <v/>
      </c>
      <c r="S39" s="31" t="str">
        <f>IF(OR($A39="",C39="",D39=""),"",IF(C39&gt;0,D39/C39*100,""))</f>
        <v/>
      </c>
      <c r="T39" s="32" t="str">
        <f>IF(OR($A39="",O39&lt;&gt;"임대중",F39&lt;&gt;"상가",G39=""),"",G39+H39*100)</f>
        <v/>
      </c>
      <c r="U39" s="33" t="str">
        <f>IF(T39="","",IF(T39&lt;=$C$7,"○ 전면적용","× 초과 (5%상한 미적용)"))</f>
        <v/>
      </c>
      <c r="V39" s="33" t="str">
        <f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  <v/>
      </c>
      <c r="W39" s="33" t="str">
        <f>IF($A39="","",IF(O39="공실","공실",IF(O39="자가사용","자가사용",IF(L39="","만료일 없음",IF(L39&lt;$C$6,"만료 +"&amp;TEXT($C$6-L39,"0")&amp;"일",IF(L39-$C$6&lt;=30,"임박 "&amp;TEXT(L39-$C$6,"0")&amp;"일","유효"))))))</f>
        <v/>
      </c>
      <c r="X39" s="32" t="str">
        <f>IF(OR($A39="",O39&lt;&gt;"임대중"),"",IF(H39="",0,H39)+IF(I39="",0,I39))</f>
        <v/>
      </c>
      <c r="Y39" s="32" t="str">
        <f>IF(OR($A39="",O39&lt;&gt;"임대중",D39="",H39=""),"",ROUND((H39+IF(I39="",0,I39))/(D39/3.305785),0))</f>
        <v/>
      </c>
    </row>
    <row r="40" ht="18" customHeight="1" spans="1:25" x14ac:dyDescent="0.25">
      <c r="A40" s="25"/>
      <c r="B40" s="25"/>
      <c r="C40" s="26"/>
      <c r="D40" s="26"/>
      <c r="E40" s="27"/>
      <c r="F40" s="25"/>
      <c r="G40" s="28"/>
      <c r="H40" s="28"/>
      <c r="I40" s="28"/>
      <c r="J40" s="29"/>
      <c r="K40" s="29"/>
      <c r="L40" s="29"/>
      <c r="M40" s="25"/>
      <c r="N40" s="25"/>
      <c r="O40" s="25"/>
      <c r="P40" s="27"/>
      <c r="Q40" s="30" t="str">
        <f>IF(OR($A40="",C40=""),"",C40/3.305785)</f>
        <v/>
      </c>
      <c r="R40" s="30" t="str">
        <f>IF(OR($A40="",D40=""),"",D40/3.305785)</f>
        <v/>
      </c>
      <c r="S40" s="31" t="str">
        <f>IF(OR($A40="",C40="",D40=""),"",IF(C40&gt;0,D40/C40*100,""))</f>
        <v/>
      </c>
      <c r="T40" s="32" t="str">
        <f>IF(OR($A40="",O40&lt;&gt;"임대중",F40&lt;&gt;"상가",G40=""),"",G40+H40*100)</f>
        <v/>
      </c>
      <c r="U40" s="33" t="str">
        <f>IF(T40="","",IF(T40&lt;=$C$7,"○ 전면적용","× 초과 (5%상한 미적용)"))</f>
        <v/>
      </c>
      <c r="V40" s="33" t="str">
        <f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  <v/>
      </c>
      <c r="W40" s="33" t="str">
        <f>IF($A40="","",IF(O40="공실","공실",IF(O40="자가사용","자가사용",IF(L40="","만료일 없음",IF(L40&lt;$C$6,"만료 +"&amp;TEXT($C$6-L40,"0")&amp;"일",IF(L40-$C$6&lt;=30,"임박 "&amp;TEXT(L40-$C$6,"0")&amp;"일","유효"))))))</f>
        <v/>
      </c>
      <c r="X40" s="32" t="str">
        <f>IF(OR($A40="",O40&lt;&gt;"임대중"),"",IF(H40="",0,H40)+IF(I40="",0,I40))</f>
        <v/>
      </c>
      <c r="Y40" s="32" t="str">
        <f>IF(OR($A40="",O40&lt;&gt;"임대중",D40="",H40=""),"",ROUND((H40+IF(I40="",0,I40))/(D40/3.305785),0))</f>
        <v/>
      </c>
    </row>
    <row r="41" ht="18" customHeight="1" spans="1:25" x14ac:dyDescent="0.25">
      <c r="A41" s="25"/>
      <c r="B41" s="25"/>
      <c r="C41" s="26"/>
      <c r="D41" s="26"/>
      <c r="E41" s="27"/>
      <c r="F41" s="25"/>
      <c r="G41" s="28"/>
      <c r="H41" s="28"/>
      <c r="I41" s="28"/>
      <c r="J41" s="29"/>
      <c r="K41" s="29"/>
      <c r="L41" s="29"/>
      <c r="M41" s="25"/>
      <c r="N41" s="25"/>
      <c r="O41" s="25"/>
      <c r="P41" s="27"/>
      <c r="Q41" s="30" t="str">
        <f>IF(OR($A41="",C41=""),"",C41/3.305785)</f>
        <v/>
      </c>
      <c r="R41" s="30" t="str">
        <f>IF(OR($A41="",D41=""),"",D41/3.305785)</f>
        <v/>
      </c>
      <c r="S41" s="31" t="str">
        <f>IF(OR($A41="",C41="",D41=""),"",IF(C41&gt;0,D41/C41*100,""))</f>
        <v/>
      </c>
      <c r="T41" s="32" t="str">
        <f>IF(OR($A41="",O41&lt;&gt;"임대중",F41&lt;&gt;"상가",G41=""),"",G41+H41*100)</f>
        <v/>
      </c>
      <c r="U41" s="33" t="str">
        <f>IF(T41="","",IF(T41&lt;=$C$7,"○ 전면적용","× 초과 (5%상한 미적용)"))</f>
        <v/>
      </c>
      <c r="V41" s="33" t="str">
        <f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  <v/>
      </c>
      <c r="W41" s="33" t="str">
        <f>IF($A41="","",IF(O41="공실","공실",IF(O41="자가사용","자가사용",IF(L41="","만료일 없음",IF(L41&lt;$C$6,"만료 +"&amp;TEXT($C$6-L41,"0")&amp;"일",IF(L41-$C$6&lt;=30,"임박 "&amp;TEXT(L41-$C$6,"0")&amp;"일","유효"))))))</f>
        <v/>
      </c>
      <c r="X41" s="32" t="str">
        <f>IF(OR($A41="",O41&lt;&gt;"임대중"),"",IF(H41="",0,H41)+IF(I41="",0,I41))</f>
        <v/>
      </c>
      <c r="Y41" s="32" t="str">
        <f>IF(OR($A41="",O41&lt;&gt;"임대중",D41="",H41=""),"",ROUND((H41+IF(I41="",0,I41))/(D41/3.305785),0))</f>
        <v/>
      </c>
    </row>
    <row r="42" ht="18" customHeight="1" spans="1:25" x14ac:dyDescent="0.25">
      <c r="A42" s="25"/>
      <c r="B42" s="25"/>
      <c r="C42" s="26"/>
      <c r="D42" s="26"/>
      <c r="E42" s="27"/>
      <c r="F42" s="25"/>
      <c r="G42" s="28"/>
      <c r="H42" s="28"/>
      <c r="I42" s="28"/>
      <c r="J42" s="29"/>
      <c r="K42" s="29"/>
      <c r="L42" s="29"/>
      <c r="M42" s="25"/>
      <c r="N42" s="25"/>
      <c r="O42" s="25"/>
      <c r="P42" s="27"/>
      <c r="Q42" s="30" t="str">
        <f>IF(OR($A42="",C42=""),"",C42/3.305785)</f>
        <v/>
      </c>
      <c r="R42" s="30" t="str">
        <f>IF(OR($A42="",D42=""),"",D42/3.305785)</f>
        <v/>
      </c>
      <c r="S42" s="31" t="str">
        <f>IF(OR($A42="",C42="",D42=""),"",IF(C42&gt;0,D42/C42*100,""))</f>
        <v/>
      </c>
      <c r="T42" s="32" t="str">
        <f>IF(OR($A42="",O42&lt;&gt;"임대중",F42&lt;&gt;"상가",G42=""),"",G42+H42*100)</f>
        <v/>
      </c>
      <c r="U42" s="33" t="str">
        <f>IF(T42="","",IF(T42&lt;=$C$7,"○ 전면적용","× 초과 (5%상한 미적용)"))</f>
        <v/>
      </c>
      <c r="V42" s="33" t="str">
        <f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  <v/>
      </c>
      <c r="W42" s="33" t="str">
        <f>IF($A42="","",IF(O42="공실","공실",IF(O42="자가사용","자가사용",IF(L42="","만료일 없음",IF(L42&lt;$C$6,"만료 +"&amp;TEXT($C$6-L42,"0")&amp;"일",IF(L42-$C$6&lt;=30,"임박 "&amp;TEXT(L42-$C$6,"0")&amp;"일","유효"))))))</f>
        <v/>
      </c>
      <c r="X42" s="32" t="str">
        <f>IF(OR($A42="",O42&lt;&gt;"임대중"),"",IF(H42="",0,H42)+IF(I42="",0,I42))</f>
        <v/>
      </c>
      <c r="Y42" s="32" t="str">
        <f>IF(OR($A42="",O42&lt;&gt;"임대중",D42="",H42=""),"",ROUND((H42+IF(I42="",0,I42))/(D42/3.305785),0))</f>
        <v/>
      </c>
    </row>
    <row r="43" ht="18" customHeight="1" spans="1:25" x14ac:dyDescent="0.25">
      <c r="A43" s="25"/>
      <c r="B43" s="25"/>
      <c r="C43" s="26"/>
      <c r="D43" s="26"/>
      <c r="E43" s="27"/>
      <c r="F43" s="25"/>
      <c r="G43" s="28"/>
      <c r="H43" s="28"/>
      <c r="I43" s="28"/>
      <c r="J43" s="29"/>
      <c r="K43" s="29"/>
      <c r="L43" s="29"/>
      <c r="M43" s="25"/>
      <c r="N43" s="25"/>
      <c r="O43" s="25"/>
      <c r="P43" s="27"/>
      <c r="Q43" s="30" t="str">
        <f>IF(OR($A43="",C43=""),"",C43/3.305785)</f>
        <v/>
      </c>
      <c r="R43" s="30" t="str">
        <f>IF(OR($A43="",D43=""),"",D43/3.305785)</f>
        <v/>
      </c>
      <c r="S43" s="31" t="str">
        <f>IF(OR($A43="",C43="",D43=""),"",IF(C43&gt;0,D43/C43*100,""))</f>
        <v/>
      </c>
      <c r="T43" s="32" t="str">
        <f>IF(OR($A43="",O43&lt;&gt;"임대중",F43&lt;&gt;"상가",G43=""),"",G43+H43*100)</f>
        <v/>
      </c>
      <c r="U43" s="33" t="str">
        <f>IF(T43="","",IF(T43&lt;=$C$7,"○ 전면적용","× 초과 (5%상한 미적용)"))</f>
        <v/>
      </c>
      <c r="V43" s="33" t="str">
        <f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  <v/>
      </c>
      <c r="W43" s="33" t="str">
        <f>IF($A43="","",IF(O43="공실","공실",IF(O43="자가사용","자가사용",IF(L43="","만료일 없음",IF(L43&lt;$C$6,"만료 +"&amp;TEXT($C$6-L43,"0")&amp;"일",IF(L43-$C$6&lt;=30,"임박 "&amp;TEXT(L43-$C$6,"0")&amp;"일","유효"))))))</f>
        <v/>
      </c>
      <c r="X43" s="32" t="str">
        <f>IF(OR($A43="",O43&lt;&gt;"임대중"),"",IF(H43="",0,H43)+IF(I43="",0,I43))</f>
        <v/>
      </c>
      <c r="Y43" s="32" t="str">
        <f>IF(OR($A43="",O43&lt;&gt;"임대중",D43="",H43=""),"",ROUND((H43+IF(I43="",0,I43))/(D43/3.305785),0))</f>
        <v/>
      </c>
    </row>
    <row r="44" ht="18" customHeight="1" spans="1:25" x14ac:dyDescent="0.25">
      <c r="A44" s="25"/>
      <c r="B44" s="25"/>
      <c r="C44" s="26"/>
      <c r="D44" s="26"/>
      <c r="E44" s="27"/>
      <c r="F44" s="25"/>
      <c r="G44" s="28"/>
      <c r="H44" s="28"/>
      <c r="I44" s="28"/>
      <c r="J44" s="29"/>
      <c r="K44" s="29"/>
      <c r="L44" s="29"/>
      <c r="M44" s="25"/>
      <c r="N44" s="25"/>
      <c r="O44" s="25"/>
      <c r="P44" s="27"/>
      <c r="Q44" s="30" t="str">
        <f>IF(OR($A44="",C44=""),"",C44/3.305785)</f>
        <v/>
      </c>
      <c r="R44" s="30" t="str">
        <f>IF(OR($A44="",D44=""),"",D44/3.305785)</f>
        <v/>
      </c>
      <c r="S44" s="31" t="str">
        <f>IF(OR($A44="",C44="",D44=""),"",IF(C44&gt;0,D44/C44*100,""))</f>
        <v/>
      </c>
      <c r="T44" s="32" t="str">
        <f>IF(OR($A44="",O44&lt;&gt;"임대중",F44&lt;&gt;"상가",G44=""),"",G44+H44*100)</f>
        <v/>
      </c>
      <c r="U44" s="33" t="str">
        <f>IF(T44="","",IF(T44&lt;=$C$7,"○ 전면적용","× 초과 (5%상한 미적용)"))</f>
        <v/>
      </c>
      <c r="V44" s="33" t="str">
        <f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  <v/>
      </c>
      <c r="W44" s="33" t="str">
        <f>IF($A44="","",IF(O44="공실","공실",IF(O44="자가사용","자가사용",IF(L44="","만료일 없음",IF(L44&lt;$C$6,"만료 +"&amp;TEXT($C$6-L44,"0")&amp;"일",IF(L44-$C$6&lt;=30,"임박 "&amp;TEXT(L44-$C$6,"0")&amp;"일","유효"))))))</f>
        <v/>
      </c>
      <c r="X44" s="32" t="str">
        <f>IF(OR($A44="",O44&lt;&gt;"임대중"),"",IF(H44="",0,H44)+IF(I44="",0,I44))</f>
        <v/>
      </c>
      <c r="Y44" s="32" t="str">
        <f>IF(OR($A44="",O44&lt;&gt;"임대중",D44="",H44=""),"",ROUND((H44+IF(I44="",0,I44))/(D44/3.305785),0))</f>
        <v/>
      </c>
    </row>
    <row r="45" ht="18" customHeight="1" spans="1:25" x14ac:dyDescent="0.25">
      <c r="A45" s="25"/>
      <c r="B45" s="25"/>
      <c r="C45" s="26"/>
      <c r="D45" s="26"/>
      <c r="E45" s="27"/>
      <c r="F45" s="25"/>
      <c r="G45" s="28"/>
      <c r="H45" s="28"/>
      <c r="I45" s="28"/>
      <c r="J45" s="29"/>
      <c r="K45" s="29"/>
      <c r="L45" s="29"/>
      <c r="M45" s="25"/>
      <c r="N45" s="25"/>
      <c r="O45" s="25"/>
      <c r="P45" s="27"/>
      <c r="Q45" s="30" t="str">
        <f>IF(OR($A45="",C45=""),"",C45/3.305785)</f>
        <v/>
      </c>
      <c r="R45" s="30" t="str">
        <f>IF(OR($A45="",D45=""),"",D45/3.305785)</f>
        <v/>
      </c>
      <c r="S45" s="31" t="str">
        <f>IF(OR($A45="",C45="",D45=""),"",IF(C45&gt;0,D45/C45*100,""))</f>
        <v/>
      </c>
      <c r="T45" s="32" t="str">
        <f>IF(OR($A45="",O45&lt;&gt;"임대중",F45&lt;&gt;"상가",G45=""),"",G45+H45*100)</f>
        <v/>
      </c>
      <c r="U45" s="33" t="str">
        <f>IF(T45="","",IF(T45&lt;=$C$7,"○ 전면적용","× 초과 (5%상한 미적용)"))</f>
        <v/>
      </c>
      <c r="V45" s="33" t="str">
        <f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  <v/>
      </c>
      <c r="W45" s="33" t="str">
        <f>IF($A45="","",IF(O45="공실","공실",IF(O45="자가사용","자가사용",IF(L45="","만료일 없음",IF(L45&lt;$C$6,"만료 +"&amp;TEXT($C$6-L45,"0")&amp;"일",IF(L45-$C$6&lt;=30,"임박 "&amp;TEXT(L45-$C$6,"0")&amp;"일","유효"))))))</f>
        <v/>
      </c>
      <c r="X45" s="32" t="str">
        <f>IF(OR($A45="",O45&lt;&gt;"임대중"),"",IF(H45="",0,H45)+IF(I45="",0,I45))</f>
        <v/>
      </c>
      <c r="Y45" s="32" t="str">
        <f>IF(OR($A45="",O45&lt;&gt;"임대중",D45="",H45=""),"",ROUND((H45+IF(I45="",0,I45))/(D45/3.305785),0))</f>
        <v/>
      </c>
    </row>
    <row r="46" ht="18" customHeight="1" spans="1:25" x14ac:dyDescent="0.25">
      <c r="A46" s="25"/>
      <c r="B46" s="25"/>
      <c r="C46" s="26"/>
      <c r="D46" s="26"/>
      <c r="E46" s="27"/>
      <c r="F46" s="25"/>
      <c r="G46" s="28"/>
      <c r="H46" s="28"/>
      <c r="I46" s="28"/>
      <c r="J46" s="29"/>
      <c r="K46" s="29"/>
      <c r="L46" s="29"/>
      <c r="M46" s="25"/>
      <c r="N46" s="25"/>
      <c r="O46" s="25"/>
      <c r="P46" s="27"/>
      <c r="Q46" s="30" t="str">
        <f>IF(OR($A46="",C46=""),"",C46/3.305785)</f>
        <v/>
      </c>
      <c r="R46" s="30" t="str">
        <f>IF(OR($A46="",D46=""),"",D46/3.305785)</f>
        <v/>
      </c>
      <c r="S46" s="31" t="str">
        <f>IF(OR($A46="",C46="",D46=""),"",IF(C46&gt;0,D46/C46*100,""))</f>
        <v/>
      </c>
      <c r="T46" s="32" t="str">
        <f>IF(OR($A46="",O46&lt;&gt;"임대중",F46&lt;&gt;"상가",G46=""),"",G46+H46*100)</f>
        <v/>
      </c>
      <c r="U46" s="33" t="str">
        <f>IF(T46="","",IF(T46&lt;=$C$7,"○ 전면적용","× 초과 (5%상한 미적용)"))</f>
        <v/>
      </c>
      <c r="V46" s="33" t="str">
        <f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  <v/>
      </c>
      <c r="W46" s="33" t="str">
        <f>IF($A46="","",IF(O46="공실","공실",IF(O46="자가사용","자가사용",IF(L46="","만료일 없음",IF(L46&lt;$C$6,"만료 +"&amp;TEXT($C$6-L46,"0")&amp;"일",IF(L46-$C$6&lt;=30,"임박 "&amp;TEXT(L46-$C$6,"0")&amp;"일","유효"))))))</f>
        <v/>
      </c>
      <c r="X46" s="32" t="str">
        <f>IF(OR($A46="",O46&lt;&gt;"임대중"),"",IF(H46="",0,H46)+IF(I46="",0,I46))</f>
        <v/>
      </c>
      <c r="Y46" s="32" t="str">
        <f>IF(OR($A46="",O46&lt;&gt;"임대중",D46="",H46=""),"",ROUND((H46+IF(I46="",0,I46))/(D46/3.305785),0))</f>
        <v/>
      </c>
    </row>
    <row r="47" ht="18" customHeight="1" spans="1:25" x14ac:dyDescent="0.25">
      <c r="A47" s="25"/>
      <c r="B47" s="25"/>
      <c r="C47" s="26"/>
      <c r="D47" s="26"/>
      <c r="E47" s="27"/>
      <c r="F47" s="25"/>
      <c r="G47" s="28"/>
      <c r="H47" s="28"/>
      <c r="I47" s="28"/>
      <c r="J47" s="29"/>
      <c r="K47" s="29"/>
      <c r="L47" s="29"/>
      <c r="M47" s="25"/>
      <c r="N47" s="25"/>
      <c r="O47" s="25"/>
      <c r="P47" s="27"/>
      <c r="Q47" s="30" t="str">
        <f>IF(OR($A47="",C47=""),"",C47/3.305785)</f>
        <v/>
      </c>
      <c r="R47" s="30" t="str">
        <f>IF(OR($A47="",D47=""),"",D47/3.305785)</f>
        <v/>
      </c>
      <c r="S47" s="31" t="str">
        <f>IF(OR($A47="",C47="",D47=""),"",IF(C47&gt;0,D47/C47*100,""))</f>
        <v/>
      </c>
      <c r="T47" s="32" t="str">
        <f>IF(OR($A47="",O47&lt;&gt;"임대중",F47&lt;&gt;"상가",G47=""),"",G47+H47*100)</f>
        <v/>
      </c>
      <c r="U47" s="33" t="str">
        <f>IF(T47="","",IF(T47&lt;=$C$7,"○ 전면적용","× 초과 (5%상한 미적용)"))</f>
        <v/>
      </c>
      <c r="V47" s="33" t="str">
        <f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  <v/>
      </c>
      <c r="W47" s="33" t="str">
        <f>IF($A47="","",IF(O47="공실","공실",IF(O47="자가사용","자가사용",IF(L47="","만료일 없음",IF(L47&lt;$C$6,"만료 +"&amp;TEXT($C$6-L47,"0")&amp;"일",IF(L47-$C$6&lt;=30,"임박 "&amp;TEXT(L47-$C$6,"0")&amp;"일","유효"))))))</f>
        <v/>
      </c>
      <c r="X47" s="32" t="str">
        <f>IF(OR($A47="",O47&lt;&gt;"임대중"),"",IF(H47="",0,H47)+IF(I47="",0,I47))</f>
        <v/>
      </c>
      <c r="Y47" s="32" t="str">
        <f>IF(OR($A47="",O47&lt;&gt;"임대중",D47="",H47=""),"",ROUND((H47+IF(I47="",0,I47))/(D47/3.305785),0))</f>
        <v/>
      </c>
    </row>
    <row r="48" ht="18" customHeight="1" spans="1:25" x14ac:dyDescent="0.25">
      <c r="A48" s="25"/>
      <c r="B48" s="25"/>
      <c r="C48" s="26"/>
      <c r="D48" s="26"/>
      <c r="E48" s="27"/>
      <c r="F48" s="25"/>
      <c r="G48" s="28"/>
      <c r="H48" s="28"/>
      <c r="I48" s="28"/>
      <c r="J48" s="29"/>
      <c r="K48" s="29"/>
      <c r="L48" s="29"/>
      <c r="M48" s="25"/>
      <c r="N48" s="25"/>
      <c r="O48" s="25"/>
      <c r="P48" s="27"/>
      <c r="Q48" s="30" t="str">
        <f>IF(OR($A48="",C48=""),"",C48/3.305785)</f>
        <v/>
      </c>
      <c r="R48" s="30" t="str">
        <f>IF(OR($A48="",D48=""),"",D48/3.305785)</f>
        <v/>
      </c>
      <c r="S48" s="31" t="str">
        <f>IF(OR($A48="",C48="",D48=""),"",IF(C48&gt;0,D48/C48*100,""))</f>
        <v/>
      </c>
      <c r="T48" s="32" t="str">
        <f>IF(OR($A48="",O48&lt;&gt;"임대중",F48&lt;&gt;"상가",G48=""),"",G48+H48*100)</f>
        <v/>
      </c>
      <c r="U48" s="33" t="str">
        <f>IF(T48="","",IF(T48&lt;=$C$7,"○ 전면적용","× 초과 (5%상한 미적용)"))</f>
        <v/>
      </c>
      <c r="V48" s="33" t="str">
        <f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  <v/>
      </c>
      <c r="W48" s="33" t="str">
        <f>IF($A48="","",IF(O48="공실","공실",IF(O48="자가사용","자가사용",IF(L48="","만료일 없음",IF(L48&lt;$C$6,"만료 +"&amp;TEXT($C$6-L48,"0")&amp;"일",IF(L48-$C$6&lt;=30,"임박 "&amp;TEXT(L48-$C$6,"0")&amp;"일","유효"))))))</f>
        <v/>
      </c>
      <c r="X48" s="32" t="str">
        <f>IF(OR($A48="",O48&lt;&gt;"임대중"),"",IF(H48="",0,H48)+IF(I48="",0,I48))</f>
        <v/>
      </c>
      <c r="Y48" s="32" t="str">
        <f>IF(OR($A48="",O48&lt;&gt;"임대중",D48="",H48=""),"",ROUND((H48+IF(I48="",0,I48))/(D48/3.305785),0))</f>
        <v/>
      </c>
    </row>
    <row r="49" ht="18" customHeight="1" spans="1:25" x14ac:dyDescent="0.25">
      <c r="A49" s="25"/>
      <c r="B49" s="25"/>
      <c r="C49" s="26"/>
      <c r="D49" s="26"/>
      <c r="E49" s="27"/>
      <c r="F49" s="25"/>
      <c r="G49" s="28"/>
      <c r="H49" s="28"/>
      <c r="I49" s="28"/>
      <c r="J49" s="29"/>
      <c r="K49" s="29"/>
      <c r="L49" s="29"/>
      <c r="M49" s="25"/>
      <c r="N49" s="25"/>
      <c r="O49" s="25"/>
      <c r="P49" s="27"/>
      <c r="Q49" s="30" t="str">
        <f>IF(OR($A49="",C49=""),"",C49/3.305785)</f>
        <v/>
      </c>
      <c r="R49" s="30" t="str">
        <f>IF(OR($A49="",D49=""),"",D49/3.305785)</f>
        <v/>
      </c>
      <c r="S49" s="31" t="str">
        <f>IF(OR($A49="",C49="",D49=""),"",IF(C49&gt;0,D49/C49*100,""))</f>
        <v/>
      </c>
      <c r="T49" s="32" t="str">
        <f>IF(OR($A49="",O49&lt;&gt;"임대중",F49&lt;&gt;"상가",G49=""),"",G49+H49*100)</f>
        <v/>
      </c>
      <c r="U49" s="33" t="str">
        <f>IF(T49="","",IF(T49&lt;=$C$7,"○ 전면적용","× 초과 (5%상한 미적용)"))</f>
        <v/>
      </c>
      <c r="V49" s="33" t="str">
        <f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  <v/>
      </c>
      <c r="W49" s="33" t="str">
        <f>IF($A49="","",IF(O49="공실","공실",IF(O49="자가사용","자가사용",IF(L49="","만료일 없음",IF(L49&lt;$C$6,"만료 +"&amp;TEXT($C$6-L49,"0")&amp;"일",IF(L49-$C$6&lt;=30,"임박 "&amp;TEXT(L49-$C$6,"0")&amp;"일","유효"))))))</f>
        <v/>
      </c>
      <c r="X49" s="32" t="str">
        <f>IF(OR($A49="",O49&lt;&gt;"임대중"),"",IF(H49="",0,H49)+IF(I49="",0,I49))</f>
        <v/>
      </c>
      <c r="Y49" s="32" t="str">
        <f>IF(OR($A49="",O49&lt;&gt;"임대중",D49="",H49=""),"",ROUND((H49+IF(I49="",0,I49))/(D49/3.305785),0))</f>
        <v/>
      </c>
    </row>
    <row r="50" ht="18" customHeight="1" spans="1:25" x14ac:dyDescent="0.25">
      <c r="A50" s="25"/>
      <c r="B50" s="25"/>
      <c r="C50" s="26"/>
      <c r="D50" s="26"/>
      <c r="E50" s="27"/>
      <c r="F50" s="25"/>
      <c r="G50" s="28"/>
      <c r="H50" s="28"/>
      <c r="I50" s="28"/>
      <c r="J50" s="29"/>
      <c r="K50" s="29"/>
      <c r="L50" s="29"/>
      <c r="M50" s="25"/>
      <c r="N50" s="25"/>
      <c r="O50" s="25"/>
      <c r="P50" s="27"/>
      <c r="Q50" s="30" t="str">
        <f>IF(OR($A50="",C50=""),"",C50/3.305785)</f>
        <v/>
      </c>
      <c r="R50" s="30" t="str">
        <f>IF(OR($A50="",D50=""),"",D50/3.305785)</f>
        <v/>
      </c>
      <c r="S50" s="31" t="str">
        <f>IF(OR($A50="",C50="",D50=""),"",IF(C50&gt;0,D50/C50*100,""))</f>
        <v/>
      </c>
      <c r="T50" s="32" t="str">
        <f>IF(OR($A50="",O50&lt;&gt;"임대중",F50&lt;&gt;"상가",G50=""),"",G50+H50*100)</f>
        <v/>
      </c>
      <c r="U50" s="33" t="str">
        <f>IF(T50="","",IF(T50&lt;=$C$7,"○ 전면적용","× 초과 (5%상한 미적용)"))</f>
        <v/>
      </c>
      <c r="V50" s="33" t="str">
        <f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  <v/>
      </c>
      <c r="W50" s="33" t="str">
        <f>IF($A50="","",IF(O50="공실","공실",IF(O50="자가사용","자가사용",IF(L50="","만료일 없음",IF(L50&lt;$C$6,"만료 +"&amp;TEXT($C$6-L50,"0")&amp;"일",IF(L50-$C$6&lt;=30,"임박 "&amp;TEXT(L50-$C$6,"0")&amp;"일","유효"))))))</f>
        <v/>
      </c>
      <c r="X50" s="32" t="str">
        <f>IF(OR($A50="",O50&lt;&gt;"임대중"),"",IF(H50="",0,H50)+IF(I50="",0,I50))</f>
        <v/>
      </c>
      <c r="Y50" s="32" t="str">
        <f>IF(OR($A50="",O50&lt;&gt;"임대중",D50="",H50=""),"",ROUND((H50+IF(I50="",0,I50))/(D50/3.305785),0))</f>
        <v/>
      </c>
    </row>
    <row r="51" ht="18" customHeight="1" spans="1:25" x14ac:dyDescent="0.25">
      <c r="A51" s="25"/>
      <c r="B51" s="25"/>
      <c r="C51" s="26"/>
      <c r="D51" s="26"/>
      <c r="E51" s="27"/>
      <c r="F51" s="25"/>
      <c r="G51" s="28"/>
      <c r="H51" s="28"/>
      <c r="I51" s="28"/>
      <c r="J51" s="29"/>
      <c r="K51" s="29"/>
      <c r="L51" s="29"/>
      <c r="M51" s="25"/>
      <c r="N51" s="25"/>
      <c r="O51" s="25"/>
      <c r="P51" s="27"/>
      <c r="Q51" s="30" t="str">
        <f>IF(OR($A51="",C51=""),"",C51/3.305785)</f>
        <v/>
      </c>
      <c r="R51" s="30" t="str">
        <f>IF(OR($A51="",D51=""),"",D51/3.305785)</f>
        <v/>
      </c>
      <c r="S51" s="31" t="str">
        <f>IF(OR($A51="",C51="",D51=""),"",IF(C51&gt;0,D51/C51*100,""))</f>
        <v/>
      </c>
      <c r="T51" s="32" t="str">
        <f>IF(OR($A51="",O51&lt;&gt;"임대중",F51&lt;&gt;"상가",G51=""),"",G51+H51*100)</f>
        <v/>
      </c>
      <c r="U51" s="33" t="str">
        <f>IF(T51="","",IF(T51&lt;=$C$7,"○ 전면적용","× 초과 (5%상한 미적용)"))</f>
        <v/>
      </c>
      <c r="V51" s="33" t="str">
        <f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  <v/>
      </c>
      <c r="W51" s="33" t="str">
        <f>IF($A51="","",IF(O51="공실","공실",IF(O51="자가사용","자가사용",IF(L51="","만료일 없음",IF(L51&lt;$C$6,"만료 +"&amp;TEXT($C$6-L51,"0")&amp;"일",IF(L51-$C$6&lt;=30,"임박 "&amp;TEXT(L51-$C$6,"0")&amp;"일","유효"))))))</f>
        <v/>
      </c>
      <c r="X51" s="32" t="str">
        <f>IF(OR($A51="",O51&lt;&gt;"임대중"),"",IF(H51="",0,H51)+IF(I51="",0,I51))</f>
        <v/>
      </c>
      <c r="Y51" s="32" t="str">
        <f>IF(OR($A51="",O51&lt;&gt;"임대중",D51="",H51=""),"",ROUND((H51+IF(I51="",0,I51))/(D51/3.305785),0))</f>
        <v/>
      </c>
    </row>
    <row r="52" ht="18" customHeight="1" spans="1:25" x14ac:dyDescent="0.25">
      <c r="A52" s="25"/>
      <c r="B52" s="25"/>
      <c r="C52" s="26"/>
      <c r="D52" s="26"/>
      <c r="E52" s="27"/>
      <c r="F52" s="25"/>
      <c r="G52" s="28"/>
      <c r="H52" s="28"/>
      <c r="I52" s="28"/>
      <c r="J52" s="29"/>
      <c r="K52" s="29"/>
      <c r="L52" s="29"/>
      <c r="M52" s="25"/>
      <c r="N52" s="25"/>
      <c r="O52" s="25"/>
      <c r="P52" s="27"/>
      <c r="Q52" s="30" t="str">
        <f>IF(OR($A52="",C52=""),"",C52/3.305785)</f>
        <v/>
      </c>
      <c r="R52" s="30" t="str">
        <f>IF(OR($A52="",D52=""),"",D52/3.305785)</f>
        <v/>
      </c>
      <c r="S52" s="31" t="str">
        <f>IF(OR($A52="",C52="",D52=""),"",IF(C52&gt;0,D52/C52*100,""))</f>
        <v/>
      </c>
      <c r="T52" s="32" t="str">
        <f>IF(OR($A52="",O52&lt;&gt;"임대중",F52&lt;&gt;"상가",G52=""),"",G52+H52*100)</f>
        <v/>
      </c>
      <c r="U52" s="33" t="str">
        <f>IF(T52="","",IF(T52&lt;=$C$7,"○ 전면적용","× 초과 (5%상한 미적용)"))</f>
        <v/>
      </c>
      <c r="V52" s="33" t="str">
        <f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  <v/>
      </c>
      <c r="W52" s="33" t="str">
        <f>IF($A52="","",IF(O52="공실","공실",IF(O52="자가사용","자가사용",IF(L52="","만료일 없음",IF(L52&lt;$C$6,"만료 +"&amp;TEXT($C$6-L52,"0")&amp;"일",IF(L52-$C$6&lt;=30,"임박 "&amp;TEXT(L52-$C$6,"0")&amp;"일","유효"))))))</f>
        <v/>
      </c>
      <c r="X52" s="32" t="str">
        <f>IF(OR($A52="",O52&lt;&gt;"임대중"),"",IF(H52="",0,H52)+IF(I52="",0,I52))</f>
        <v/>
      </c>
      <c r="Y52" s="32" t="str">
        <f>IF(OR($A52="",O52&lt;&gt;"임대중",D52="",H52=""),"",ROUND((H52+IF(I52="",0,I52))/(D52/3.305785),0))</f>
        <v/>
      </c>
    </row>
    <row r="53" ht="18" customHeight="1" spans="1:25" x14ac:dyDescent="0.25">
      <c r="A53" s="25"/>
      <c r="B53" s="25"/>
      <c r="C53" s="26"/>
      <c r="D53" s="26"/>
      <c r="E53" s="27"/>
      <c r="F53" s="25"/>
      <c r="G53" s="28"/>
      <c r="H53" s="28"/>
      <c r="I53" s="28"/>
      <c r="J53" s="29"/>
      <c r="K53" s="29"/>
      <c r="L53" s="29"/>
      <c r="M53" s="25"/>
      <c r="N53" s="25"/>
      <c r="O53" s="25"/>
      <c r="P53" s="27"/>
      <c r="Q53" s="30" t="str">
        <f>IF(OR($A53="",C53=""),"",C53/3.305785)</f>
        <v/>
      </c>
      <c r="R53" s="30" t="str">
        <f>IF(OR($A53="",D53=""),"",D53/3.305785)</f>
        <v/>
      </c>
      <c r="S53" s="31" t="str">
        <f>IF(OR($A53="",C53="",D53=""),"",IF(C53&gt;0,D53/C53*100,""))</f>
        <v/>
      </c>
      <c r="T53" s="32" t="str">
        <f>IF(OR($A53="",O53&lt;&gt;"임대중",F53&lt;&gt;"상가",G53=""),"",G53+H53*100)</f>
        <v/>
      </c>
      <c r="U53" s="33" t="str">
        <f>IF(T53="","",IF(T53&lt;=$C$7,"○ 전면적용","× 초과 (5%상한 미적용)"))</f>
        <v/>
      </c>
      <c r="V53" s="33" t="str">
        <f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  <v/>
      </c>
      <c r="W53" s="33" t="str">
        <f>IF($A53="","",IF(O53="공실","공실",IF(O53="자가사용","자가사용",IF(L53="","만료일 없음",IF(L53&lt;$C$6,"만료 +"&amp;TEXT($C$6-L53,"0")&amp;"일",IF(L53-$C$6&lt;=30,"임박 "&amp;TEXT(L53-$C$6,"0")&amp;"일","유효"))))))</f>
        <v/>
      </c>
      <c r="X53" s="32" t="str">
        <f>IF(OR($A53="",O53&lt;&gt;"임대중"),"",IF(H53="",0,H53)+IF(I53="",0,I53))</f>
        <v/>
      </c>
      <c r="Y53" s="32" t="str">
        <f>IF(OR($A53="",O53&lt;&gt;"임대중",D53="",H53=""),"",ROUND((H53+IF(I53="",0,I53))/(D53/3.305785),0))</f>
        <v/>
      </c>
    </row>
    <row r="54" ht="18" customHeight="1" spans="1:25" x14ac:dyDescent="0.25">
      <c r="A54" s="25"/>
      <c r="B54" s="25"/>
      <c r="C54" s="26"/>
      <c r="D54" s="26"/>
      <c r="E54" s="27"/>
      <c r="F54" s="25"/>
      <c r="G54" s="28"/>
      <c r="H54" s="28"/>
      <c r="I54" s="28"/>
      <c r="J54" s="29"/>
      <c r="K54" s="29"/>
      <c r="L54" s="29"/>
      <c r="M54" s="25"/>
      <c r="N54" s="25"/>
      <c r="O54" s="25"/>
      <c r="P54" s="27"/>
      <c r="Q54" s="30" t="str">
        <f>IF(OR($A54="",C54=""),"",C54/3.305785)</f>
        <v/>
      </c>
      <c r="R54" s="30" t="str">
        <f>IF(OR($A54="",D54=""),"",D54/3.305785)</f>
        <v/>
      </c>
      <c r="S54" s="31" t="str">
        <f>IF(OR($A54="",C54="",D54=""),"",IF(C54&gt;0,D54/C54*100,""))</f>
        <v/>
      </c>
      <c r="T54" s="32" t="str">
        <f>IF(OR($A54="",O54&lt;&gt;"임대중",F54&lt;&gt;"상가",G54=""),"",G54+H54*100)</f>
        <v/>
      </c>
      <c r="U54" s="33" t="str">
        <f>IF(T54="","",IF(T54&lt;=$C$7,"○ 전면적용","× 초과 (5%상한 미적용)"))</f>
        <v/>
      </c>
      <c r="V54" s="33" t="str">
        <f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  <v/>
      </c>
      <c r="W54" s="33" t="str">
        <f>IF($A54="","",IF(O54="공실","공실",IF(O54="자가사용","자가사용",IF(L54="","만료일 없음",IF(L54&lt;$C$6,"만료 +"&amp;TEXT($C$6-L54,"0")&amp;"일",IF(L54-$C$6&lt;=30,"임박 "&amp;TEXT(L54-$C$6,"0")&amp;"일","유효"))))))</f>
        <v/>
      </c>
      <c r="X54" s="32" t="str">
        <f>IF(OR($A54="",O54&lt;&gt;"임대중"),"",IF(H54="",0,H54)+IF(I54="",0,I54))</f>
        <v/>
      </c>
      <c r="Y54" s="32" t="str">
        <f>IF(OR($A54="",O54&lt;&gt;"임대중",D54="",H54=""),"",ROUND((H54+IF(I54="",0,I54))/(D54/3.305785),0))</f>
        <v/>
      </c>
    </row>
    <row r="55" ht="18" customHeight="1" spans="1:25" x14ac:dyDescent="0.25">
      <c r="A55" s="25"/>
      <c r="B55" s="25"/>
      <c r="C55" s="26"/>
      <c r="D55" s="26"/>
      <c r="E55" s="27"/>
      <c r="F55" s="25"/>
      <c r="G55" s="28"/>
      <c r="H55" s="28"/>
      <c r="I55" s="28"/>
      <c r="J55" s="29"/>
      <c r="K55" s="29"/>
      <c r="L55" s="29"/>
      <c r="M55" s="25"/>
      <c r="N55" s="25"/>
      <c r="O55" s="25"/>
      <c r="P55" s="27"/>
      <c r="Q55" s="30" t="str">
        <f>IF(OR($A55="",C55=""),"",C55/3.305785)</f>
        <v/>
      </c>
      <c r="R55" s="30" t="str">
        <f>IF(OR($A55="",D55=""),"",D55/3.305785)</f>
        <v/>
      </c>
      <c r="S55" s="31" t="str">
        <f>IF(OR($A55="",C55="",D55=""),"",IF(C55&gt;0,D55/C55*100,""))</f>
        <v/>
      </c>
      <c r="T55" s="32" t="str">
        <f>IF(OR($A55="",O55&lt;&gt;"임대중",F55&lt;&gt;"상가",G55=""),"",G55+H55*100)</f>
        <v/>
      </c>
      <c r="U55" s="33" t="str">
        <f>IF(T55="","",IF(T55&lt;=$C$7,"○ 전면적용","× 초과 (5%상한 미적용)"))</f>
        <v/>
      </c>
      <c r="V55" s="33" t="str">
        <f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  <v/>
      </c>
      <c r="W55" s="33" t="str">
        <f>IF($A55="","",IF(O55="공실","공실",IF(O55="자가사용","자가사용",IF(L55="","만료일 없음",IF(L55&lt;$C$6,"만료 +"&amp;TEXT($C$6-L55,"0")&amp;"일",IF(L55-$C$6&lt;=30,"임박 "&amp;TEXT(L55-$C$6,"0")&amp;"일","유효"))))))</f>
        <v/>
      </c>
      <c r="X55" s="32" t="str">
        <f>IF(OR($A55="",O55&lt;&gt;"임대중"),"",IF(H55="",0,H55)+IF(I55="",0,I55))</f>
        <v/>
      </c>
      <c r="Y55" s="32" t="str">
        <f>IF(OR($A55="",O55&lt;&gt;"임대중",D55="",H55=""),"",ROUND((H55+IF(I55="",0,I55))/(D55/3.305785),0))</f>
        <v/>
      </c>
    </row>
    <row r="56" ht="18" customHeight="1" spans="1:25" x14ac:dyDescent="0.25">
      <c r="A56" s="25"/>
      <c r="B56" s="25"/>
      <c r="C56" s="26"/>
      <c r="D56" s="26"/>
      <c r="E56" s="27"/>
      <c r="F56" s="25"/>
      <c r="G56" s="28"/>
      <c r="H56" s="28"/>
      <c r="I56" s="28"/>
      <c r="J56" s="29"/>
      <c r="K56" s="29"/>
      <c r="L56" s="29"/>
      <c r="M56" s="25"/>
      <c r="N56" s="25"/>
      <c r="O56" s="25"/>
      <c r="P56" s="27"/>
      <c r="Q56" s="30" t="str">
        <f>IF(OR($A56="",C56=""),"",C56/3.305785)</f>
        <v/>
      </c>
      <c r="R56" s="30" t="str">
        <f>IF(OR($A56="",D56=""),"",D56/3.305785)</f>
        <v/>
      </c>
      <c r="S56" s="31" t="str">
        <f>IF(OR($A56="",C56="",D56=""),"",IF(C56&gt;0,D56/C56*100,""))</f>
        <v/>
      </c>
      <c r="T56" s="32" t="str">
        <f>IF(OR($A56="",O56&lt;&gt;"임대중",F56&lt;&gt;"상가",G56=""),"",G56+H56*100)</f>
        <v/>
      </c>
      <c r="U56" s="33" t="str">
        <f>IF(T56="","",IF(T56&lt;=$C$7,"○ 전면적용","× 초과 (5%상한 미적용)"))</f>
        <v/>
      </c>
      <c r="V56" s="33" t="str">
        <f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  <v/>
      </c>
      <c r="W56" s="33" t="str">
        <f>IF($A56="","",IF(O56="공실","공실",IF(O56="자가사용","자가사용",IF(L56="","만료일 없음",IF(L56&lt;$C$6,"만료 +"&amp;TEXT($C$6-L56,"0")&amp;"일",IF(L56-$C$6&lt;=30,"임박 "&amp;TEXT(L56-$C$6,"0")&amp;"일","유효"))))))</f>
        <v/>
      </c>
      <c r="X56" s="32" t="str">
        <f>IF(OR($A56="",O56&lt;&gt;"임대중"),"",IF(H56="",0,H56)+IF(I56="",0,I56))</f>
        <v/>
      </c>
      <c r="Y56" s="32" t="str">
        <f>IF(OR($A56="",O56&lt;&gt;"임대중",D56="",H56=""),"",ROUND((H56+IF(I56="",0,I56))/(D56/3.305785),0))</f>
        <v/>
      </c>
    </row>
    <row r="57" ht="18" customHeight="1" spans="1:25" x14ac:dyDescent="0.25">
      <c r="A57" s="25"/>
      <c r="B57" s="25"/>
      <c r="C57" s="26"/>
      <c r="D57" s="26"/>
      <c r="E57" s="27"/>
      <c r="F57" s="25"/>
      <c r="G57" s="28"/>
      <c r="H57" s="28"/>
      <c r="I57" s="28"/>
      <c r="J57" s="29"/>
      <c r="K57" s="29"/>
      <c r="L57" s="29"/>
      <c r="M57" s="25"/>
      <c r="N57" s="25"/>
      <c r="O57" s="25"/>
      <c r="P57" s="27"/>
      <c r="Q57" s="30" t="str">
        <f>IF(OR($A57="",C57=""),"",C57/3.305785)</f>
        <v/>
      </c>
      <c r="R57" s="30" t="str">
        <f>IF(OR($A57="",D57=""),"",D57/3.305785)</f>
        <v/>
      </c>
      <c r="S57" s="31" t="str">
        <f>IF(OR($A57="",C57="",D57=""),"",IF(C57&gt;0,D57/C57*100,""))</f>
        <v/>
      </c>
      <c r="T57" s="32" t="str">
        <f>IF(OR($A57="",O57&lt;&gt;"임대중",F57&lt;&gt;"상가",G57=""),"",G57+H57*100)</f>
        <v/>
      </c>
      <c r="U57" s="33" t="str">
        <f>IF(T57="","",IF(T57&lt;=$C$7,"○ 전면적용","× 초과 (5%상한 미적용)"))</f>
        <v/>
      </c>
      <c r="V57" s="33" t="str">
        <f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  <v/>
      </c>
      <c r="W57" s="33" t="str">
        <f>IF($A57="","",IF(O57="공실","공실",IF(O57="자가사용","자가사용",IF(L57="","만료일 없음",IF(L57&lt;$C$6,"만료 +"&amp;TEXT($C$6-L57,"0")&amp;"일",IF(L57-$C$6&lt;=30,"임박 "&amp;TEXT(L57-$C$6,"0")&amp;"일","유효"))))))</f>
        <v/>
      </c>
      <c r="X57" s="32" t="str">
        <f>IF(OR($A57="",O57&lt;&gt;"임대중"),"",IF(H57="",0,H57)+IF(I57="",0,I57))</f>
        <v/>
      </c>
      <c r="Y57" s="32" t="str">
        <f>IF(OR($A57="",O57&lt;&gt;"임대중",D57="",H57=""),"",ROUND((H57+IF(I57="",0,I57))/(D57/3.305785),0))</f>
        <v/>
      </c>
    </row>
    <row r="58" ht="18" customHeight="1" spans="1:25" x14ac:dyDescent="0.25">
      <c r="A58" s="25"/>
      <c r="B58" s="25"/>
      <c r="C58" s="26"/>
      <c r="D58" s="26"/>
      <c r="E58" s="27"/>
      <c r="F58" s="25"/>
      <c r="G58" s="28"/>
      <c r="H58" s="28"/>
      <c r="I58" s="28"/>
      <c r="J58" s="29"/>
      <c r="K58" s="29"/>
      <c r="L58" s="29"/>
      <c r="M58" s="25"/>
      <c r="N58" s="25"/>
      <c r="O58" s="25"/>
      <c r="P58" s="27"/>
      <c r="Q58" s="30" t="str">
        <f>IF(OR($A58="",C58=""),"",C58/3.305785)</f>
        <v/>
      </c>
      <c r="R58" s="30" t="str">
        <f>IF(OR($A58="",D58=""),"",D58/3.305785)</f>
        <v/>
      </c>
      <c r="S58" s="31" t="str">
        <f>IF(OR($A58="",C58="",D58=""),"",IF(C58&gt;0,D58/C58*100,""))</f>
        <v/>
      </c>
      <c r="T58" s="32" t="str">
        <f>IF(OR($A58="",O58&lt;&gt;"임대중",F58&lt;&gt;"상가",G58=""),"",G58+H58*100)</f>
        <v/>
      </c>
      <c r="U58" s="33" t="str">
        <f>IF(T58="","",IF(T58&lt;=$C$7,"○ 전면적용","× 초과 (5%상한 미적용)"))</f>
        <v/>
      </c>
      <c r="V58" s="33" t="str">
        <f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  <v/>
      </c>
      <c r="W58" s="33" t="str">
        <f>IF($A58="","",IF(O58="공실","공실",IF(O58="자가사용","자가사용",IF(L58="","만료일 없음",IF(L58&lt;$C$6,"만료 +"&amp;TEXT($C$6-L58,"0")&amp;"일",IF(L58-$C$6&lt;=30,"임박 "&amp;TEXT(L58-$C$6,"0")&amp;"일","유효"))))))</f>
        <v/>
      </c>
      <c r="X58" s="32" t="str">
        <f>IF(OR($A58="",O58&lt;&gt;"임대중"),"",IF(H58="",0,H58)+IF(I58="",0,I58))</f>
        <v/>
      </c>
      <c r="Y58" s="32" t="str">
        <f>IF(OR($A58="",O58&lt;&gt;"임대중",D58="",H58=""),"",ROUND((H58+IF(I58="",0,I58))/(D58/3.305785),0))</f>
        <v/>
      </c>
    </row>
    <row r="59" ht="18" customHeight="1" spans="1:25" x14ac:dyDescent="0.25">
      <c r="A59" s="25"/>
      <c r="B59" s="25"/>
      <c r="C59" s="26"/>
      <c r="D59" s="26"/>
      <c r="E59" s="27"/>
      <c r="F59" s="25"/>
      <c r="G59" s="28"/>
      <c r="H59" s="28"/>
      <c r="I59" s="28"/>
      <c r="J59" s="29"/>
      <c r="K59" s="29"/>
      <c r="L59" s="29"/>
      <c r="M59" s="25"/>
      <c r="N59" s="25"/>
      <c r="O59" s="25"/>
      <c r="P59" s="27"/>
      <c r="Q59" s="30" t="str">
        <f>IF(OR($A59="",C59=""),"",C59/3.305785)</f>
        <v/>
      </c>
      <c r="R59" s="30" t="str">
        <f>IF(OR($A59="",D59=""),"",D59/3.305785)</f>
        <v/>
      </c>
      <c r="S59" s="31" t="str">
        <f>IF(OR($A59="",C59="",D59=""),"",IF(C59&gt;0,D59/C59*100,""))</f>
        <v/>
      </c>
      <c r="T59" s="32" t="str">
        <f>IF(OR($A59="",O59&lt;&gt;"임대중",F59&lt;&gt;"상가",G59=""),"",G59+H59*100)</f>
        <v/>
      </c>
      <c r="U59" s="33" t="str">
        <f>IF(T59="","",IF(T59&lt;=$C$7,"○ 전면적용","× 초과 (5%상한 미적용)"))</f>
        <v/>
      </c>
      <c r="V59" s="33" t="str">
        <f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  <v/>
      </c>
      <c r="W59" s="33" t="str">
        <f>IF($A59="","",IF(O59="공실","공실",IF(O59="자가사용","자가사용",IF(L59="","만료일 없음",IF(L59&lt;$C$6,"만료 +"&amp;TEXT($C$6-L59,"0")&amp;"일",IF(L59-$C$6&lt;=30,"임박 "&amp;TEXT(L59-$C$6,"0")&amp;"일","유효"))))))</f>
        <v/>
      </c>
      <c r="X59" s="32" t="str">
        <f>IF(OR($A59="",O59&lt;&gt;"임대중"),"",IF(H59="",0,H59)+IF(I59="",0,I59))</f>
        <v/>
      </c>
      <c r="Y59" s="32" t="str">
        <f>IF(OR($A59="",O59&lt;&gt;"임대중",D59="",H59=""),"",ROUND((H59+IF(I59="",0,I59))/(D59/3.305785),0))</f>
        <v/>
      </c>
    </row>
    <row r="60" ht="18" customHeight="1" spans="1:25" x14ac:dyDescent="0.25">
      <c r="A60" s="25"/>
      <c r="B60" s="25"/>
      <c r="C60" s="26"/>
      <c r="D60" s="26"/>
      <c r="E60" s="27"/>
      <c r="F60" s="25"/>
      <c r="G60" s="28"/>
      <c r="H60" s="28"/>
      <c r="I60" s="28"/>
      <c r="J60" s="29"/>
      <c r="K60" s="29"/>
      <c r="L60" s="29"/>
      <c r="M60" s="25"/>
      <c r="N60" s="25"/>
      <c r="O60" s="25"/>
      <c r="P60" s="27"/>
      <c r="Q60" s="30" t="str">
        <f>IF(OR($A60="",C60=""),"",C60/3.305785)</f>
        <v/>
      </c>
      <c r="R60" s="30" t="str">
        <f>IF(OR($A60="",D60=""),"",D60/3.305785)</f>
        <v/>
      </c>
      <c r="S60" s="31" t="str">
        <f>IF(OR($A60="",C60="",D60=""),"",IF(C60&gt;0,D60/C60*100,""))</f>
        <v/>
      </c>
      <c r="T60" s="32" t="str">
        <f>IF(OR($A60="",O60&lt;&gt;"임대중",F60&lt;&gt;"상가",G60=""),"",G60+H60*100)</f>
        <v/>
      </c>
      <c r="U60" s="33" t="str">
        <f>IF(T60="","",IF(T60&lt;=$C$7,"○ 전면적용","× 초과 (5%상한 미적용)"))</f>
        <v/>
      </c>
      <c r="V60" s="33" t="str">
        <f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  <v/>
      </c>
      <c r="W60" s="33" t="str">
        <f>IF($A60="","",IF(O60="공실","공실",IF(O60="자가사용","자가사용",IF(L60="","만료일 없음",IF(L60&lt;$C$6,"만료 +"&amp;TEXT($C$6-L60,"0")&amp;"일",IF(L60-$C$6&lt;=30,"임박 "&amp;TEXT(L60-$C$6,"0")&amp;"일","유효"))))))</f>
        <v/>
      </c>
      <c r="X60" s="32" t="str">
        <f>IF(OR($A60="",O60&lt;&gt;"임대중"),"",IF(H60="",0,H60)+IF(I60="",0,I60))</f>
        <v/>
      </c>
      <c r="Y60" s="32" t="str">
        <f>IF(OR($A60="",O60&lt;&gt;"임대중",D60="",H60=""),"",ROUND((H60+IF(I60="",0,I60))/(D60/3.305785),0))</f>
        <v/>
      </c>
    </row>
    <row r="61" ht="18" customHeight="1" spans="1:25" x14ac:dyDescent="0.25">
      <c r="A61" s="25"/>
      <c r="B61" s="25"/>
      <c r="C61" s="26"/>
      <c r="D61" s="26"/>
      <c r="E61" s="27"/>
      <c r="F61" s="25"/>
      <c r="G61" s="28"/>
      <c r="H61" s="28"/>
      <c r="I61" s="28"/>
      <c r="J61" s="29"/>
      <c r="K61" s="29"/>
      <c r="L61" s="29"/>
      <c r="M61" s="25"/>
      <c r="N61" s="25"/>
      <c r="O61" s="25"/>
      <c r="P61" s="27"/>
      <c r="Q61" s="30" t="str">
        <f>IF(OR($A61="",C61=""),"",C61/3.305785)</f>
        <v/>
      </c>
      <c r="R61" s="30" t="str">
        <f>IF(OR($A61="",D61=""),"",D61/3.305785)</f>
        <v/>
      </c>
      <c r="S61" s="31" t="str">
        <f>IF(OR($A61="",C61="",D61=""),"",IF(C61&gt;0,D61/C61*100,""))</f>
        <v/>
      </c>
      <c r="T61" s="32" t="str">
        <f>IF(OR($A61="",O61&lt;&gt;"임대중",F61&lt;&gt;"상가",G61=""),"",G61+H61*100)</f>
        <v/>
      </c>
      <c r="U61" s="33" t="str">
        <f>IF(T61="","",IF(T61&lt;=$C$7,"○ 전면적용","× 초과 (5%상한 미적용)"))</f>
        <v/>
      </c>
      <c r="V61" s="33" t="str">
        <f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  <v/>
      </c>
      <c r="W61" s="33" t="str">
        <f>IF($A61="","",IF(O61="공실","공실",IF(O61="자가사용","자가사용",IF(L61="","만료일 없음",IF(L61&lt;$C$6,"만료 +"&amp;TEXT($C$6-L61,"0")&amp;"일",IF(L61-$C$6&lt;=30,"임박 "&amp;TEXT(L61-$C$6,"0")&amp;"일","유효"))))))</f>
        <v/>
      </c>
      <c r="X61" s="32" t="str">
        <f>IF(OR($A61="",O61&lt;&gt;"임대중"),"",IF(H61="",0,H61)+IF(I61="",0,I61))</f>
        <v/>
      </c>
      <c r="Y61" s="32" t="str">
        <f>IF(OR($A61="",O61&lt;&gt;"임대중",D61="",H61=""),"",ROUND((H61+IF(I61="",0,I61))/(D61/3.305785),0))</f>
        <v/>
      </c>
    </row>
    <row r="62" ht="18" customHeight="1" spans="1:25" x14ac:dyDescent="0.25">
      <c r="A62" s="25"/>
      <c r="B62" s="25"/>
      <c r="C62" s="26"/>
      <c r="D62" s="26"/>
      <c r="E62" s="27"/>
      <c r="F62" s="25"/>
      <c r="G62" s="28"/>
      <c r="H62" s="28"/>
      <c r="I62" s="28"/>
      <c r="J62" s="29"/>
      <c r="K62" s="29"/>
      <c r="L62" s="29"/>
      <c r="M62" s="25"/>
      <c r="N62" s="25"/>
      <c r="O62" s="25"/>
      <c r="P62" s="27"/>
      <c r="Q62" s="30" t="str">
        <f>IF(OR($A62="",C62=""),"",C62/3.305785)</f>
        <v/>
      </c>
      <c r="R62" s="30" t="str">
        <f>IF(OR($A62="",D62=""),"",D62/3.305785)</f>
        <v/>
      </c>
      <c r="S62" s="31" t="str">
        <f>IF(OR($A62="",C62="",D62=""),"",IF(C62&gt;0,D62/C62*100,""))</f>
        <v/>
      </c>
      <c r="T62" s="32" t="str">
        <f>IF(OR($A62="",O62&lt;&gt;"임대중",F62&lt;&gt;"상가",G62=""),"",G62+H62*100)</f>
        <v/>
      </c>
      <c r="U62" s="33" t="str">
        <f>IF(T62="","",IF(T62&lt;=$C$7,"○ 전면적용","× 초과 (5%상한 미적용)"))</f>
        <v/>
      </c>
      <c r="V62" s="33" t="str">
        <f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  <v/>
      </c>
      <c r="W62" s="33" t="str">
        <f>IF($A62="","",IF(O62="공실","공실",IF(O62="자가사용","자가사용",IF(L62="","만료일 없음",IF(L62&lt;$C$6,"만료 +"&amp;TEXT($C$6-L62,"0")&amp;"일",IF(L62-$C$6&lt;=30,"임박 "&amp;TEXT(L62-$C$6,"0")&amp;"일","유효"))))))</f>
        <v/>
      </c>
      <c r="X62" s="32" t="str">
        <f>IF(OR($A62="",O62&lt;&gt;"임대중"),"",IF(H62="",0,H62)+IF(I62="",0,I62))</f>
        <v/>
      </c>
      <c r="Y62" s="32" t="str">
        <f>IF(OR($A62="",O62&lt;&gt;"임대중",D62="",H62=""),"",ROUND((H62+IF(I62="",0,I62))/(D62/3.305785),0))</f>
        <v/>
      </c>
    </row>
    <row r="63" ht="18" customHeight="1" spans="1:25" x14ac:dyDescent="0.25">
      <c r="A63" s="25"/>
      <c r="B63" s="25"/>
      <c r="C63" s="26"/>
      <c r="D63" s="26"/>
      <c r="E63" s="27"/>
      <c r="F63" s="25"/>
      <c r="G63" s="28"/>
      <c r="H63" s="28"/>
      <c r="I63" s="28"/>
      <c r="J63" s="29"/>
      <c r="K63" s="29"/>
      <c r="L63" s="29"/>
      <c r="M63" s="25"/>
      <c r="N63" s="25"/>
      <c r="O63" s="25"/>
      <c r="P63" s="27"/>
      <c r="Q63" s="30" t="str">
        <f>IF(OR($A63="",C63=""),"",C63/3.305785)</f>
        <v/>
      </c>
      <c r="R63" s="30" t="str">
        <f>IF(OR($A63="",D63=""),"",D63/3.305785)</f>
        <v/>
      </c>
      <c r="S63" s="31" t="str">
        <f>IF(OR($A63="",C63="",D63=""),"",IF(C63&gt;0,D63/C63*100,""))</f>
        <v/>
      </c>
      <c r="T63" s="32" t="str">
        <f>IF(OR($A63="",O63&lt;&gt;"임대중",F63&lt;&gt;"상가",G63=""),"",G63+H63*100)</f>
        <v/>
      </c>
      <c r="U63" s="33" t="str">
        <f>IF(T63="","",IF(T63&lt;=$C$7,"○ 전면적용","× 초과 (5%상한 미적용)"))</f>
        <v/>
      </c>
      <c r="V63" s="33" t="str">
        <f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  <v/>
      </c>
      <c r="W63" s="33" t="str">
        <f>IF($A63="","",IF(O63="공실","공실",IF(O63="자가사용","자가사용",IF(L63="","만료일 없음",IF(L63&lt;$C$6,"만료 +"&amp;TEXT($C$6-L63,"0")&amp;"일",IF(L63-$C$6&lt;=30,"임박 "&amp;TEXT(L63-$C$6,"0")&amp;"일","유효"))))))</f>
        <v/>
      </c>
      <c r="X63" s="32" t="str">
        <f>IF(OR($A63="",O63&lt;&gt;"임대중"),"",IF(H63="",0,H63)+IF(I63="",0,I63))</f>
        <v/>
      </c>
      <c r="Y63" s="32" t="str">
        <f>IF(OR($A63="",O63&lt;&gt;"임대중",D63="",H63=""),"",ROUND((H63+IF(I63="",0,I63))/(D63/3.305785),0))</f>
        <v/>
      </c>
    </row>
    <row r="64" ht="18" customHeight="1" spans="1:25" x14ac:dyDescent="0.25">
      <c r="A64" s="25"/>
      <c r="B64" s="25"/>
      <c r="C64" s="26"/>
      <c r="D64" s="26"/>
      <c r="E64" s="27"/>
      <c r="F64" s="25"/>
      <c r="G64" s="28"/>
      <c r="H64" s="28"/>
      <c r="I64" s="28"/>
      <c r="J64" s="29"/>
      <c r="K64" s="29"/>
      <c r="L64" s="29"/>
      <c r="M64" s="25"/>
      <c r="N64" s="25"/>
      <c r="O64" s="25"/>
      <c r="P64" s="27"/>
      <c r="Q64" s="30" t="str">
        <f>IF(OR($A64="",C64=""),"",C64/3.305785)</f>
        <v/>
      </c>
      <c r="R64" s="30" t="str">
        <f>IF(OR($A64="",D64=""),"",D64/3.305785)</f>
        <v/>
      </c>
      <c r="S64" s="31" t="str">
        <f>IF(OR($A64="",C64="",D64=""),"",IF(C64&gt;0,D64/C64*100,""))</f>
        <v/>
      </c>
      <c r="T64" s="32" t="str">
        <f>IF(OR($A64="",O64&lt;&gt;"임대중",F64&lt;&gt;"상가",G64=""),"",G64+H64*100)</f>
        <v/>
      </c>
      <c r="U64" s="33" t="str">
        <f>IF(T64="","",IF(T64&lt;=$C$7,"○ 전면적용","× 초과 (5%상한 미적용)"))</f>
        <v/>
      </c>
      <c r="V64" s="33" t="str">
        <f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  <v/>
      </c>
      <c r="W64" s="33" t="str">
        <f>IF($A64="","",IF(O64="공실","공실",IF(O64="자가사용","자가사용",IF(L64="","만료일 없음",IF(L64&lt;$C$6,"만료 +"&amp;TEXT($C$6-L64,"0")&amp;"일",IF(L64-$C$6&lt;=30,"임박 "&amp;TEXT(L64-$C$6,"0")&amp;"일","유효"))))))</f>
        <v/>
      </c>
      <c r="X64" s="32" t="str">
        <f>IF(OR($A64="",O64&lt;&gt;"임대중"),"",IF(H64="",0,H64)+IF(I64="",0,I64))</f>
        <v/>
      </c>
      <c r="Y64" s="32" t="str">
        <f>IF(OR($A64="",O64&lt;&gt;"임대중",D64="",H64=""),"",ROUND((H64+IF(I64="",0,I64))/(D64/3.305785),0))</f>
        <v/>
      </c>
    </row>
    <row r="65" ht="18" customHeight="1" spans="1:25" x14ac:dyDescent="0.25">
      <c r="A65" s="25"/>
      <c r="B65" s="25"/>
      <c r="C65" s="26"/>
      <c r="D65" s="26"/>
      <c r="E65" s="27"/>
      <c r="F65" s="25"/>
      <c r="G65" s="28"/>
      <c r="H65" s="28"/>
      <c r="I65" s="28"/>
      <c r="J65" s="29"/>
      <c r="K65" s="29"/>
      <c r="L65" s="29"/>
      <c r="M65" s="25"/>
      <c r="N65" s="25"/>
      <c r="O65" s="25"/>
      <c r="P65" s="27"/>
      <c r="Q65" s="30" t="str">
        <f>IF(OR($A65="",C65=""),"",C65/3.305785)</f>
        <v/>
      </c>
      <c r="R65" s="30" t="str">
        <f>IF(OR($A65="",D65=""),"",D65/3.305785)</f>
        <v/>
      </c>
      <c r="S65" s="31" t="str">
        <f>IF(OR($A65="",C65="",D65=""),"",IF(C65&gt;0,D65/C65*100,""))</f>
        <v/>
      </c>
      <c r="T65" s="32" t="str">
        <f>IF(OR($A65="",O65&lt;&gt;"임대중",F65&lt;&gt;"상가",G65=""),"",G65+H65*100)</f>
        <v/>
      </c>
      <c r="U65" s="33" t="str">
        <f>IF(T65="","",IF(T65&lt;=$C$7,"○ 전면적용","× 초과 (5%상한 미적용)"))</f>
        <v/>
      </c>
      <c r="V65" s="33" t="str">
        <f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  <v/>
      </c>
      <c r="W65" s="33" t="str">
        <f>IF($A65="","",IF(O65="공실","공실",IF(O65="자가사용","자가사용",IF(L65="","만료일 없음",IF(L65&lt;$C$6,"만료 +"&amp;TEXT($C$6-L65,"0")&amp;"일",IF(L65-$C$6&lt;=30,"임박 "&amp;TEXT(L65-$C$6,"0")&amp;"일","유효"))))))</f>
        <v/>
      </c>
      <c r="X65" s="32" t="str">
        <f>IF(OR($A65="",O65&lt;&gt;"임대중"),"",IF(H65="",0,H65)+IF(I65="",0,I65))</f>
        <v/>
      </c>
      <c r="Y65" s="32" t="str">
        <f>IF(OR($A65="",O65&lt;&gt;"임대중",D65="",H65=""),"",ROUND((H65+IF(I65="",0,I65))/(D65/3.305785),0))</f>
        <v/>
      </c>
    </row>
    <row r="66" ht="18" customHeight="1" spans="1:25" x14ac:dyDescent="0.25">
      <c r="A66" s="25"/>
      <c r="B66" s="25"/>
      <c r="C66" s="26"/>
      <c r="D66" s="26"/>
      <c r="E66" s="27"/>
      <c r="F66" s="25"/>
      <c r="G66" s="28"/>
      <c r="H66" s="28"/>
      <c r="I66" s="28"/>
      <c r="J66" s="29"/>
      <c r="K66" s="29"/>
      <c r="L66" s="29"/>
      <c r="M66" s="25"/>
      <c r="N66" s="25"/>
      <c r="O66" s="25"/>
      <c r="P66" s="27"/>
      <c r="Q66" s="30" t="str">
        <f>IF(OR($A66="",C66=""),"",C66/3.305785)</f>
        <v/>
      </c>
      <c r="R66" s="30" t="str">
        <f>IF(OR($A66="",D66=""),"",D66/3.305785)</f>
        <v/>
      </c>
      <c r="S66" s="31" t="str">
        <f>IF(OR($A66="",C66="",D66=""),"",IF(C66&gt;0,D66/C66*100,""))</f>
        <v/>
      </c>
      <c r="T66" s="32" t="str">
        <f>IF(OR($A66="",O66&lt;&gt;"임대중",F66&lt;&gt;"상가",G66=""),"",G66+H66*100)</f>
        <v/>
      </c>
      <c r="U66" s="33" t="str">
        <f>IF(T66="","",IF(T66&lt;=$C$7,"○ 전면적용","× 초과 (5%상한 미적용)"))</f>
        <v/>
      </c>
      <c r="V66" s="33" t="str">
        <f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  <v/>
      </c>
      <c r="W66" s="33" t="str">
        <f>IF($A66="","",IF(O66="공실","공실",IF(O66="자가사용","자가사용",IF(L66="","만료일 없음",IF(L66&lt;$C$6,"만료 +"&amp;TEXT($C$6-L66,"0")&amp;"일",IF(L66-$C$6&lt;=30,"임박 "&amp;TEXT(L66-$C$6,"0")&amp;"일","유효"))))))</f>
        <v/>
      </c>
      <c r="X66" s="32" t="str">
        <f>IF(OR($A66="",O66&lt;&gt;"임대중"),"",IF(H66="",0,H66)+IF(I66="",0,I66))</f>
        <v/>
      </c>
      <c r="Y66" s="32" t="str">
        <f>IF(OR($A66="",O66&lt;&gt;"임대중",D66="",H66=""),"",ROUND((H66+IF(I66="",0,I66))/(D66/3.305785),0))</f>
        <v/>
      </c>
    </row>
    <row r="67" ht="18" customHeight="1" spans="1:25" x14ac:dyDescent="0.25">
      <c r="A67" s="25"/>
      <c r="B67" s="25"/>
      <c r="C67" s="26"/>
      <c r="D67" s="26"/>
      <c r="E67" s="27"/>
      <c r="F67" s="25"/>
      <c r="G67" s="28"/>
      <c r="H67" s="28"/>
      <c r="I67" s="28"/>
      <c r="J67" s="29"/>
      <c r="K67" s="29"/>
      <c r="L67" s="29"/>
      <c r="M67" s="25"/>
      <c r="N67" s="25"/>
      <c r="O67" s="25"/>
      <c r="P67" s="27"/>
      <c r="Q67" s="30" t="str">
        <f>IF(OR($A67="",C67=""),"",C67/3.305785)</f>
        <v/>
      </c>
      <c r="R67" s="30" t="str">
        <f>IF(OR($A67="",D67=""),"",D67/3.305785)</f>
        <v/>
      </c>
      <c r="S67" s="31" t="str">
        <f>IF(OR($A67="",C67="",D67=""),"",IF(C67&gt;0,D67/C67*100,""))</f>
        <v/>
      </c>
      <c r="T67" s="32" t="str">
        <f>IF(OR($A67="",O67&lt;&gt;"임대중",F67&lt;&gt;"상가",G67=""),"",G67+H67*100)</f>
        <v/>
      </c>
      <c r="U67" s="33" t="str">
        <f>IF(T67="","",IF(T67&lt;=$C$7,"○ 전면적용","× 초과 (5%상한 미적용)"))</f>
        <v/>
      </c>
      <c r="V67" s="33" t="str">
        <f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  <v/>
      </c>
      <c r="W67" s="33" t="str">
        <f>IF($A67="","",IF(O67="공실","공실",IF(O67="자가사용","자가사용",IF(L67="","만료일 없음",IF(L67&lt;$C$6,"만료 +"&amp;TEXT($C$6-L67,"0")&amp;"일",IF(L67-$C$6&lt;=30,"임박 "&amp;TEXT(L67-$C$6,"0")&amp;"일","유효"))))))</f>
        <v/>
      </c>
      <c r="X67" s="32" t="str">
        <f>IF(OR($A67="",O67&lt;&gt;"임대중"),"",IF(H67="",0,H67)+IF(I67="",0,I67))</f>
        <v/>
      </c>
      <c r="Y67" s="32" t="str">
        <f>IF(OR($A67="",O67&lt;&gt;"임대중",D67="",H67=""),"",ROUND((H67+IF(I67="",0,I67))/(D67/3.305785),0))</f>
        <v/>
      </c>
    </row>
    <row r="68" ht="18" customHeight="1" spans="1:25" x14ac:dyDescent="0.25">
      <c r="A68" s="25"/>
      <c r="B68" s="25"/>
      <c r="C68" s="26"/>
      <c r="D68" s="26"/>
      <c r="E68" s="27"/>
      <c r="F68" s="25"/>
      <c r="G68" s="28"/>
      <c r="H68" s="28"/>
      <c r="I68" s="28"/>
      <c r="J68" s="29"/>
      <c r="K68" s="29"/>
      <c r="L68" s="29"/>
      <c r="M68" s="25"/>
      <c r="N68" s="25"/>
      <c r="O68" s="25"/>
      <c r="P68" s="27"/>
      <c r="Q68" s="30" t="str">
        <f>IF(OR($A68="",C68=""),"",C68/3.305785)</f>
        <v/>
      </c>
      <c r="R68" s="30" t="str">
        <f>IF(OR($A68="",D68=""),"",D68/3.305785)</f>
        <v/>
      </c>
      <c r="S68" s="31" t="str">
        <f>IF(OR($A68="",C68="",D68=""),"",IF(C68&gt;0,D68/C68*100,""))</f>
        <v/>
      </c>
      <c r="T68" s="32" t="str">
        <f>IF(OR($A68="",O68&lt;&gt;"임대중",F68&lt;&gt;"상가",G68=""),"",G68+H68*100)</f>
        <v/>
      </c>
      <c r="U68" s="33" t="str">
        <f>IF(T68="","",IF(T68&lt;=$C$7,"○ 전면적용","× 초과 (5%상한 미적용)"))</f>
        <v/>
      </c>
      <c r="V68" s="33" t="str">
        <f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  <v/>
      </c>
      <c r="W68" s="33" t="str">
        <f>IF($A68="","",IF(O68="공실","공실",IF(O68="자가사용","자가사용",IF(L68="","만료일 없음",IF(L68&lt;$C$6,"만료 +"&amp;TEXT($C$6-L68,"0")&amp;"일",IF(L68-$C$6&lt;=30,"임박 "&amp;TEXT(L68-$C$6,"0")&amp;"일","유효"))))))</f>
        <v/>
      </c>
      <c r="X68" s="32" t="str">
        <f>IF(OR($A68="",O68&lt;&gt;"임대중"),"",IF(H68="",0,H68)+IF(I68="",0,I68))</f>
        <v/>
      </c>
      <c r="Y68" s="32" t="str">
        <f>IF(OR($A68="",O68&lt;&gt;"임대중",D68="",H68=""),"",ROUND((H68+IF(I68="",0,I68))/(D68/3.305785),0))</f>
        <v/>
      </c>
    </row>
    <row r="69" ht="18" customHeight="1" spans="1:25" x14ac:dyDescent="0.25">
      <c r="A69" s="25"/>
      <c r="B69" s="25"/>
      <c r="C69" s="26"/>
      <c r="D69" s="26"/>
      <c r="E69" s="27"/>
      <c r="F69" s="25"/>
      <c r="G69" s="28"/>
      <c r="H69" s="28"/>
      <c r="I69" s="28"/>
      <c r="J69" s="29"/>
      <c r="K69" s="29"/>
      <c r="L69" s="29"/>
      <c r="M69" s="25"/>
      <c r="N69" s="25"/>
      <c r="O69" s="25"/>
      <c r="P69" s="27"/>
      <c r="Q69" s="30" t="str">
        <f>IF(OR($A69="",C69=""),"",C69/3.305785)</f>
        <v/>
      </c>
      <c r="R69" s="30" t="str">
        <f>IF(OR($A69="",D69=""),"",D69/3.305785)</f>
        <v/>
      </c>
      <c r="S69" s="31" t="str">
        <f>IF(OR($A69="",C69="",D69=""),"",IF(C69&gt;0,D69/C69*100,""))</f>
        <v/>
      </c>
      <c r="T69" s="32" t="str">
        <f>IF(OR($A69="",O69&lt;&gt;"임대중",F69&lt;&gt;"상가",G69=""),"",G69+H69*100)</f>
        <v/>
      </c>
      <c r="U69" s="33" t="str">
        <f>IF(T69="","",IF(T69&lt;=$C$7,"○ 전면적용","× 초과 (5%상한 미적용)"))</f>
        <v/>
      </c>
      <c r="V69" s="33" t="str">
        <f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  <v/>
      </c>
      <c r="W69" s="33" t="str">
        <f>IF($A69="","",IF(O69="공실","공실",IF(O69="자가사용","자가사용",IF(L69="","만료일 없음",IF(L69&lt;$C$6,"만료 +"&amp;TEXT($C$6-L69,"0")&amp;"일",IF(L69-$C$6&lt;=30,"임박 "&amp;TEXT(L69-$C$6,"0")&amp;"일","유효"))))))</f>
        <v/>
      </c>
      <c r="X69" s="32" t="str">
        <f>IF(OR($A69="",O69&lt;&gt;"임대중"),"",IF(H69="",0,H69)+IF(I69="",0,I69))</f>
        <v/>
      </c>
      <c r="Y69" s="32" t="str">
        <f>IF(OR($A69="",O69&lt;&gt;"임대중",D69="",H69=""),"",ROUND((H69+IF(I69="",0,I69))/(D69/3.305785),0))</f>
        <v/>
      </c>
    </row>
    <row r="70" ht="18" customHeight="1" spans="1:25" x14ac:dyDescent="0.25">
      <c r="A70" s="25"/>
      <c r="B70" s="25"/>
      <c r="C70" s="26"/>
      <c r="D70" s="26"/>
      <c r="E70" s="27"/>
      <c r="F70" s="25"/>
      <c r="G70" s="28"/>
      <c r="H70" s="28"/>
      <c r="I70" s="28"/>
      <c r="J70" s="29"/>
      <c r="K70" s="29"/>
      <c r="L70" s="29"/>
      <c r="M70" s="25"/>
      <c r="N70" s="25"/>
      <c r="O70" s="25"/>
      <c r="P70" s="27"/>
      <c r="Q70" s="30" t="str">
        <f>IF(OR($A70="",C70=""),"",C70/3.305785)</f>
        <v/>
      </c>
      <c r="R70" s="30" t="str">
        <f>IF(OR($A70="",D70=""),"",D70/3.305785)</f>
        <v/>
      </c>
      <c r="S70" s="31" t="str">
        <f>IF(OR($A70="",C70="",D70=""),"",IF(C70&gt;0,D70/C70*100,""))</f>
        <v/>
      </c>
      <c r="T70" s="32" t="str">
        <f>IF(OR($A70="",O70&lt;&gt;"임대중",F70&lt;&gt;"상가",G70=""),"",G70+H70*100)</f>
        <v/>
      </c>
      <c r="U70" s="33" t="str">
        <f>IF(T70="","",IF(T70&lt;=$C$7,"○ 전면적용","× 초과 (5%상한 미적용)"))</f>
        <v/>
      </c>
      <c r="V70" s="33" t="str">
        <f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  <v/>
      </c>
      <c r="W70" s="33" t="str">
        <f>IF($A70="","",IF(O70="공실","공실",IF(O70="자가사용","자가사용",IF(L70="","만료일 없음",IF(L70&lt;$C$6,"만료 +"&amp;TEXT($C$6-L70,"0")&amp;"일",IF(L70-$C$6&lt;=30,"임박 "&amp;TEXT(L70-$C$6,"0")&amp;"일","유효"))))))</f>
        <v/>
      </c>
      <c r="X70" s="32" t="str">
        <f>IF(OR($A70="",O70&lt;&gt;"임대중"),"",IF(H70="",0,H70)+IF(I70="",0,I70))</f>
        <v/>
      </c>
      <c r="Y70" s="32" t="str">
        <f>IF(OR($A70="",O70&lt;&gt;"임대중",D70="",H70=""),"",ROUND((H70+IF(I70="",0,I70))/(D70/3.305785),0))</f>
        <v/>
      </c>
    </row>
    <row r="71" ht="18" customHeight="1" spans="1:25" x14ac:dyDescent="0.25">
      <c r="A71" s="25"/>
      <c r="B71" s="25"/>
      <c r="C71" s="26"/>
      <c r="D71" s="26"/>
      <c r="E71" s="27"/>
      <c r="F71" s="25"/>
      <c r="G71" s="28"/>
      <c r="H71" s="28"/>
      <c r="I71" s="28"/>
      <c r="J71" s="29"/>
      <c r="K71" s="29"/>
      <c r="L71" s="29"/>
      <c r="M71" s="25"/>
      <c r="N71" s="25"/>
      <c r="O71" s="25"/>
      <c r="P71" s="27"/>
      <c r="Q71" s="30" t="str">
        <f>IF(OR($A71="",C71=""),"",C71/3.305785)</f>
        <v/>
      </c>
      <c r="R71" s="30" t="str">
        <f>IF(OR($A71="",D71=""),"",D71/3.305785)</f>
        <v/>
      </c>
      <c r="S71" s="31" t="str">
        <f>IF(OR($A71="",C71="",D71=""),"",IF(C71&gt;0,D71/C71*100,""))</f>
        <v/>
      </c>
      <c r="T71" s="32" t="str">
        <f>IF(OR($A71="",O71&lt;&gt;"임대중",F71&lt;&gt;"상가",G71=""),"",G71+H71*100)</f>
        <v/>
      </c>
      <c r="U71" s="33" t="str">
        <f>IF(T71="","",IF(T71&lt;=$C$7,"○ 전면적용","× 초과 (5%상한 미적용)"))</f>
        <v/>
      </c>
      <c r="V71" s="33" t="str">
        <f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  <v/>
      </c>
      <c r="W71" s="33" t="str">
        <f>IF($A71="","",IF(O71="공실","공실",IF(O71="자가사용","자가사용",IF(L71="","만료일 없음",IF(L71&lt;$C$6,"만료 +"&amp;TEXT($C$6-L71,"0")&amp;"일",IF(L71-$C$6&lt;=30,"임박 "&amp;TEXT(L71-$C$6,"0")&amp;"일","유효"))))))</f>
        <v/>
      </c>
      <c r="X71" s="32" t="str">
        <f>IF(OR($A71="",O71&lt;&gt;"임대중"),"",IF(H71="",0,H71)+IF(I71="",0,I71))</f>
        <v/>
      </c>
      <c r="Y71" s="32" t="str">
        <f>IF(OR($A71="",O71&lt;&gt;"임대중",D71="",H71=""),"",ROUND((H71+IF(I71="",0,I71))/(D71/3.305785),0))</f>
        <v/>
      </c>
    </row>
    <row r="72" ht="18" customHeight="1" spans="1:25" x14ac:dyDescent="0.25">
      <c r="A72" s="25"/>
      <c r="B72" s="25"/>
      <c r="C72" s="26"/>
      <c r="D72" s="26"/>
      <c r="E72" s="27"/>
      <c r="F72" s="25"/>
      <c r="G72" s="28"/>
      <c r="H72" s="28"/>
      <c r="I72" s="28"/>
      <c r="J72" s="29"/>
      <c r="K72" s="29"/>
      <c r="L72" s="29"/>
      <c r="M72" s="25"/>
      <c r="N72" s="25"/>
      <c r="O72" s="25"/>
      <c r="P72" s="27"/>
      <c r="Q72" s="30" t="str">
        <f>IF(OR($A72="",C72=""),"",C72/3.305785)</f>
        <v/>
      </c>
      <c r="R72" s="30" t="str">
        <f>IF(OR($A72="",D72=""),"",D72/3.305785)</f>
        <v/>
      </c>
      <c r="S72" s="31" t="str">
        <f>IF(OR($A72="",C72="",D72=""),"",IF(C72&gt;0,D72/C72*100,""))</f>
        <v/>
      </c>
      <c r="T72" s="32" t="str">
        <f>IF(OR($A72="",O72&lt;&gt;"임대중",F72&lt;&gt;"상가",G72=""),"",G72+H72*100)</f>
        <v/>
      </c>
      <c r="U72" s="33" t="str">
        <f>IF(T72="","",IF(T72&lt;=$C$7,"○ 전면적용","× 초과 (5%상한 미적용)"))</f>
        <v/>
      </c>
      <c r="V72" s="33" t="str">
        <f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  <v/>
      </c>
      <c r="W72" s="33" t="str">
        <f>IF($A72="","",IF(O72="공실","공실",IF(O72="자가사용","자가사용",IF(L72="","만료일 없음",IF(L72&lt;$C$6,"만료 +"&amp;TEXT($C$6-L72,"0")&amp;"일",IF(L72-$C$6&lt;=30,"임박 "&amp;TEXT(L72-$C$6,"0")&amp;"일","유효"))))))</f>
        <v/>
      </c>
      <c r="X72" s="32" t="str">
        <f>IF(OR($A72="",O72&lt;&gt;"임대중"),"",IF(H72="",0,H72)+IF(I72="",0,I72))</f>
        <v/>
      </c>
      <c r="Y72" s="32" t="str">
        <f>IF(OR($A72="",O72&lt;&gt;"임대중",D72="",H72=""),"",ROUND((H72+IF(I72="",0,I72))/(D72/3.305785),0))</f>
        <v/>
      </c>
    </row>
    <row r="73" ht="18" customHeight="1" spans="1:25" x14ac:dyDescent="0.25">
      <c r="A73" s="25"/>
      <c r="B73" s="25"/>
      <c r="C73" s="26"/>
      <c r="D73" s="26"/>
      <c r="E73" s="27"/>
      <c r="F73" s="25"/>
      <c r="G73" s="28"/>
      <c r="H73" s="28"/>
      <c r="I73" s="28"/>
      <c r="J73" s="29"/>
      <c r="K73" s="29"/>
      <c r="L73" s="29"/>
      <c r="M73" s="25"/>
      <c r="N73" s="25"/>
      <c r="O73" s="25"/>
      <c r="P73" s="27"/>
      <c r="Q73" s="30" t="str">
        <f>IF(OR($A73="",C73=""),"",C73/3.305785)</f>
        <v/>
      </c>
      <c r="R73" s="30" t="str">
        <f>IF(OR($A73="",D73=""),"",D73/3.305785)</f>
        <v/>
      </c>
      <c r="S73" s="31" t="str">
        <f>IF(OR($A73="",C73="",D73=""),"",IF(C73&gt;0,D73/C73*100,""))</f>
        <v/>
      </c>
      <c r="T73" s="32" t="str">
        <f>IF(OR($A73="",O73&lt;&gt;"임대중",F73&lt;&gt;"상가",G73=""),"",G73+H73*100)</f>
        <v/>
      </c>
      <c r="U73" s="33" t="str">
        <f>IF(T73="","",IF(T73&lt;=$C$7,"○ 전면적용","× 초과 (5%상한 미적용)"))</f>
        <v/>
      </c>
      <c r="V73" s="33" t="str">
        <f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  <v/>
      </c>
      <c r="W73" s="33" t="str">
        <f>IF($A73="","",IF(O73="공실","공실",IF(O73="자가사용","자가사용",IF(L73="","만료일 없음",IF(L73&lt;$C$6,"만료 +"&amp;TEXT($C$6-L73,"0")&amp;"일",IF(L73-$C$6&lt;=30,"임박 "&amp;TEXT(L73-$C$6,"0")&amp;"일","유효"))))))</f>
        <v/>
      </c>
      <c r="X73" s="32" t="str">
        <f>IF(OR($A73="",O73&lt;&gt;"임대중"),"",IF(H73="",0,H73)+IF(I73="",0,I73))</f>
        <v/>
      </c>
      <c r="Y73" s="32" t="str">
        <f>IF(OR($A73="",O73&lt;&gt;"임대중",D73="",H73=""),"",ROUND((H73+IF(I73="",0,I73))/(D73/3.305785),0))</f>
        <v/>
      </c>
    </row>
    <row r="74" ht="18" customHeight="1" spans="1:25" x14ac:dyDescent="0.25">
      <c r="A74" s="25"/>
      <c r="B74" s="25"/>
      <c r="C74" s="26"/>
      <c r="D74" s="26"/>
      <c r="E74" s="27"/>
      <c r="F74" s="25"/>
      <c r="G74" s="28"/>
      <c r="H74" s="28"/>
      <c r="I74" s="28"/>
      <c r="J74" s="29"/>
      <c r="K74" s="29"/>
      <c r="L74" s="29"/>
      <c r="M74" s="25"/>
      <c r="N74" s="25"/>
      <c r="O74" s="25"/>
      <c r="P74" s="27"/>
      <c r="Q74" s="30" t="str">
        <f>IF(OR($A74="",C74=""),"",C74/3.305785)</f>
        <v/>
      </c>
      <c r="R74" s="30" t="str">
        <f>IF(OR($A74="",D74=""),"",D74/3.305785)</f>
        <v/>
      </c>
      <c r="S74" s="31" t="str">
        <f>IF(OR($A74="",C74="",D74=""),"",IF(C74&gt;0,D74/C74*100,""))</f>
        <v/>
      </c>
      <c r="T74" s="32" t="str">
        <f>IF(OR($A74="",O74&lt;&gt;"임대중",F74&lt;&gt;"상가",G74=""),"",G74+H74*100)</f>
        <v/>
      </c>
      <c r="U74" s="33" t="str">
        <f>IF(T74="","",IF(T74&lt;=$C$7,"○ 전면적용","× 초과 (5%상한 미적용)"))</f>
        <v/>
      </c>
      <c r="V74" s="33" t="str">
        <f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  <v/>
      </c>
      <c r="W74" s="33" t="str">
        <f>IF($A74="","",IF(O74="공실","공실",IF(O74="자가사용","자가사용",IF(L74="","만료일 없음",IF(L74&lt;$C$6,"만료 +"&amp;TEXT($C$6-L74,"0")&amp;"일",IF(L74-$C$6&lt;=30,"임박 "&amp;TEXT(L74-$C$6,"0")&amp;"일","유효"))))))</f>
        <v/>
      </c>
      <c r="X74" s="32" t="str">
        <f>IF(OR($A74="",O74&lt;&gt;"임대중"),"",IF(H74="",0,H74)+IF(I74="",0,I74))</f>
        <v/>
      </c>
      <c r="Y74" s="32" t="str">
        <f>IF(OR($A74="",O74&lt;&gt;"임대중",D74="",H74=""),"",ROUND((H74+IF(I74="",0,I74))/(D74/3.305785),0))</f>
        <v/>
      </c>
    </row>
    <row r="75" ht="18" customHeight="1" spans="1:25" x14ac:dyDescent="0.25">
      <c r="A75" s="25"/>
      <c r="B75" s="25"/>
      <c r="C75" s="26"/>
      <c r="D75" s="26"/>
      <c r="E75" s="27"/>
      <c r="F75" s="25"/>
      <c r="G75" s="28"/>
      <c r="H75" s="28"/>
      <c r="I75" s="28"/>
      <c r="J75" s="29"/>
      <c r="K75" s="29"/>
      <c r="L75" s="29"/>
      <c r="M75" s="25"/>
      <c r="N75" s="25"/>
      <c r="O75" s="25"/>
      <c r="P75" s="27"/>
      <c r="Q75" s="30" t="str">
        <f>IF(OR($A75="",C75=""),"",C75/3.305785)</f>
        <v/>
      </c>
      <c r="R75" s="30" t="str">
        <f>IF(OR($A75="",D75=""),"",D75/3.305785)</f>
        <v/>
      </c>
      <c r="S75" s="31" t="str">
        <f>IF(OR($A75="",C75="",D75=""),"",IF(C75&gt;0,D75/C75*100,""))</f>
        <v/>
      </c>
      <c r="T75" s="32" t="str">
        <f>IF(OR($A75="",O75&lt;&gt;"임대중",F75&lt;&gt;"상가",G75=""),"",G75+H75*100)</f>
        <v/>
      </c>
      <c r="U75" s="33" t="str">
        <f>IF(T75="","",IF(T75&lt;=$C$7,"○ 전면적용","× 초과 (5%상한 미적용)"))</f>
        <v/>
      </c>
      <c r="V75" s="33" t="str">
        <f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  <v/>
      </c>
      <c r="W75" s="33" t="str">
        <f>IF($A75="","",IF(O75="공실","공실",IF(O75="자가사용","자가사용",IF(L75="","만료일 없음",IF(L75&lt;$C$6,"만료 +"&amp;TEXT($C$6-L75,"0")&amp;"일",IF(L75-$C$6&lt;=30,"임박 "&amp;TEXT(L75-$C$6,"0")&amp;"일","유효"))))))</f>
        <v/>
      </c>
      <c r="X75" s="32" t="str">
        <f>IF(OR($A75="",O75&lt;&gt;"임대중"),"",IF(H75="",0,H75)+IF(I75="",0,I75))</f>
        <v/>
      </c>
      <c r="Y75" s="32" t="str">
        <f>IF(OR($A75="",O75&lt;&gt;"임대중",D75="",H75=""),"",ROUND((H75+IF(I75="",0,I75))/(D75/3.305785),0))</f>
        <v/>
      </c>
    </row>
    <row r="76" ht="18" customHeight="1" spans="1:25" x14ac:dyDescent="0.25">
      <c r="A76" s="25"/>
      <c r="B76" s="25"/>
      <c r="C76" s="26"/>
      <c r="D76" s="26"/>
      <c r="E76" s="27"/>
      <c r="F76" s="25"/>
      <c r="G76" s="28"/>
      <c r="H76" s="28"/>
      <c r="I76" s="28"/>
      <c r="J76" s="29"/>
      <c r="K76" s="29"/>
      <c r="L76" s="29"/>
      <c r="M76" s="25"/>
      <c r="N76" s="25"/>
      <c r="O76" s="25"/>
      <c r="P76" s="27"/>
      <c r="Q76" s="30" t="str">
        <f>IF(OR($A76="",C76=""),"",C76/3.305785)</f>
        <v/>
      </c>
      <c r="R76" s="30" t="str">
        <f>IF(OR($A76="",D76=""),"",D76/3.305785)</f>
        <v/>
      </c>
      <c r="S76" s="31" t="str">
        <f>IF(OR($A76="",C76="",D76=""),"",IF(C76&gt;0,D76/C76*100,""))</f>
        <v/>
      </c>
      <c r="T76" s="32" t="str">
        <f>IF(OR($A76="",O76&lt;&gt;"임대중",F76&lt;&gt;"상가",G76=""),"",G76+H76*100)</f>
        <v/>
      </c>
      <c r="U76" s="33" t="str">
        <f>IF(T76="","",IF(T76&lt;=$C$7,"○ 전면적용","× 초과 (5%상한 미적용)"))</f>
        <v/>
      </c>
      <c r="V76" s="33" t="str">
        <f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  <v/>
      </c>
      <c r="W76" s="33" t="str">
        <f>IF($A76="","",IF(O76="공실","공실",IF(O76="자가사용","자가사용",IF(L76="","만료일 없음",IF(L76&lt;$C$6,"만료 +"&amp;TEXT($C$6-L76,"0")&amp;"일",IF(L76-$C$6&lt;=30,"임박 "&amp;TEXT(L76-$C$6,"0")&amp;"일","유효"))))))</f>
        <v/>
      </c>
      <c r="X76" s="32" t="str">
        <f>IF(OR($A76="",O76&lt;&gt;"임대중"),"",IF(H76="",0,H76)+IF(I76="",0,I76))</f>
        <v/>
      </c>
      <c r="Y76" s="32" t="str">
        <f>IF(OR($A76="",O76&lt;&gt;"임대중",D76="",H76=""),"",ROUND((H76+IF(I76="",0,I76))/(D76/3.305785),0))</f>
        <v/>
      </c>
    </row>
    <row r="77" ht="18" customHeight="1" spans="1:25" x14ac:dyDescent="0.25">
      <c r="A77" s="25"/>
      <c r="B77" s="25"/>
      <c r="C77" s="26"/>
      <c r="D77" s="26"/>
      <c r="E77" s="27"/>
      <c r="F77" s="25"/>
      <c r="G77" s="28"/>
      <c r="H77" s="28"/>
      <c r="I77" s="28"/>
      <c r="J77" s="29"/>
      <c r="K77" s="29"/>
      <c r="L77" s="29"/>
      <c r="M77" s="25"/>
      <c r="N77" s="25"/>
      <c r="O77" s="25"/>
      <c r="P77" s="27"/>
      <c r="Q77" s="30" t="str">
        <f>IF(OR($A77="",C77=""),"",C77/3.305785)</f>
        <v/>
      </c>
      <c r="R77" s="30" t="str">
        <f>IF(OR($A77="",D77=""),"",D77/3.305785)</f>
        <v/>
      </c>
      <c r="S77" s="31" t="str">
        <f>IF(OR($A77="",C77="",D77=""),"",IF(C77&gt;0,D77/C77*100,""))</f>
        <v/>
      </c>
      <c r="T77" s="32" t="str">
        <f>IF(OR($A77="",O77&lt;&gt;"임대중",F77&lt;&gt;"상가",G77=""),"",G77+H77*100)</f>
        <v/>
      </c>
      <c r="U77" s="33" t="str">
        <f>IF(T77="","",IF(T77&lt;=$C$7,"○ 전면적용","× 초과 (5%상한 미적용)"))</f>
        <v/>
      </c>
      <c r="V77" s="33" t="str">
        <f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  <v/>
      </c>
      <c r="W77" s="33" t="str">
        <f>IF($A77="","",IF(O77="공실","공실",IF(O77="자가사용","자가사용",IF(L77="","만료일 없음",IF(L77&lt;$C$6,"만료 +"&amp;TEXT($C$6-L77,"0")&amp;"일",IF(L77-$C$6&lt;=30,"임박 "&amp;TEXT(L77-$C$6,"0")&amp;"일","유효"))))))</f>
        <v/>
      </c>
      <c r="X77" s="32" t="str">
        <f>IF(OR($A77="",O77&lt;&gt;"임대중"),"",IF(H77="",0,H77)+IF(I77="",0,I77))</f>
        <v/>
      </c>
      <c r="Y77" s="32" t="str">
        <f>IF(OR($A77="",O77&lt;&gt;"임대중",D77="",H77=""),"",ROUND((H77+IF(I77="",0,I77))/(D77/3.305785),0))</f>
        <v/>
      </c>
    </row>
    <row r="78" ht="18" customHeight="1" spans="1:25" x14ac:dyDescent="0.25">
      <c r="A78" s="25"/>
      <c r="B78" s="25"/>
      <c r="C78" s="26"/>
      <c r="D78" s="26"/>
      <c r="E78" s="27"/>
      <c r="F78" s="25"/>
      <c r="G78" s="28"/>
      <c r="H78" s="28"/>
      <c r="I78" s="28"/>
      <c r="J78" s="29"/>
      <c r="K78" s="29"/>
      <c r="L78" s="29"/>
      <c r="M78" s="25"/>
      <c r="N78" s="25"/>
      <c r="O78" s="25"/>
      <c r="P78" s="27"/>
      <c r="Q78" s="30" t="str">
        <f>IF(OR($A78="",C78=""),"",C78/3.305785)</f>
        <v/>
      </c>
      <c r="R78" s="30" t="str">
        <f>IF(OR($A78="",D78=""),"",D78/3.305785)</f>
        <v/>
      </c>
      <c r="S78" s="31" t="str">
        <f>IF(OR($A78="",C78="",D78=""),"",IF(C78&gt;0,D78/C78*100,""))</f>
        <v/>
      </c>
      <c r="T78" s="32" t="str">
        <f>IF(OR($A78="",O78&lt;&gt;"임대중",F78&lt;&gt;"상가",G78=""),"",G78+H78*100)</f>
        <v/>
      </c>
      <c r="U78" s="33" t="str">
        <f>IF(T78="","",IF(T78&lt;=$C$7,"○ 전면적용","× 초과 (5%상한 미적용)"))</f>
        <v/>
      </c>
      <c r="V78" s="33" t="str">
        <f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  <v/>
      </c>
      <c r="W78" s="33" t="str">
        <f>IF($A78="","",IF(O78="공실","공실",IF(O78="자가사용","자가사용",IF(L78="","만료일 없음",IF(L78&lt;$C$6,"만료 +"&amp;TEXT($C$6-L78,"0")&amp;"일",IF(L78-$C$6&lt;=30,"임박 "&amp;TEXT(L78-$C$6,"0")&amp;"일","유효"))))))</f>
        <v/>
      </c>
      <c r="X78" s="32" t="str">
        <f>IF(OR($A78="",O78&lt;&gt;"임대중"),"",IF(H78="",0,H78)+IF(I78="",0,I78))</f>
        <v/>
      </c>
      <c r="Y78" s="32" t="str">
        <f>IF(OR($A78="",O78&lt;&gt;"임대중",D78="",H78=""),"",ROUND((H78+IF(I78="",0,I78))/(D78/3.305785),0))</f>
        <v/>
      </c>
    </row>
    <row r="79" ht="18" customHeight="1" spans="1:25" x14ac:dyDescent="0.25">
      <c r="A79" s="25"/>
      <c r="B79" s="25"/>
      <c r="C79" s="26"/>
      <c r="D79" s="26"/>
      <c r="E79" s="27"/>
      <c r="F79" s="25"/>
      <c r="G79" s="28"/>
      <c r="H79" s="28"/>
      <c r="I79" s="28"/>
      <c r="J79" s="29"/>
      <c r="K79" s="29"/>
      <c r="L79" s="29"/>
      <c r="M79" s="25"/>
      <c r="N79" s="25"/>
      <c r="O79" s="25"/>
      <c r="P79" s="27"/>
      <c r="Q79" s="30" t="str">
        <f>IF(OR($A79="",C79=""),"",C79/3.305785)</f>
        <v/>
      </c>
      <c r="R79" s="30" t="str">
        <f>IF(OR($A79="",D79=""),"",D79/3.305785)</f>
        <v/>
      </c>
      <c r="S79" s="31" t="str">
        <f>IF(OR($A79="",C79="",D79=""),"",IF(C79&gt;0,D79/C79*100,""))</f>
        <v/>
      </c>
      <c r="T79" s="32" t="str">
        <f>IF(OR($A79="",O79&lt;&gt;"임대중",F79&lt;&gt;"상가",G79=""),"",G79+H79*100)</f>
        <v/>
      </c>
      <c r="U79" s="33" t="str">
        <f>IF(T79="","",IF(T79&lt;=$C$7,"○ 전면적용","× 초과 (5%상한 미적용)"))</f>
        <v/>
      </c>
      <c r="V79" s="33" t="str">
        <f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  <v/>
      </c>
      <c r="W79" s="33" t="str">
        <f>IF($A79="","",IF(O79="공실","공실",IF(O79="자가사용","자가사용",IF(L79="","만료일 없음",IF(L79&lt;$C$6,"만료 +"&amp;TEXT($C$6-L79,"0")&amp;"일",IF(L79-$C$6&lt;=30,"임박 "&amp;TEXT(L79-$C$6,"0")&amp;"일","유효"))))))</f>
        <v/>
      </c>
      <c r="X79" s="32" t="str">
        <f>IF(OR($A79="",O79&lt;&gt;"임대중"),"",IF(H79="",0,H79)+IF(I79="",0,I79))</f>
        <v/>
      </c>
      <c r="Y79" s="32" t="str">
        <f>IF(OR($A79="",O79&lt;&gt;"임대중",D79="",H79=""),"",ROUND((H79+IF(I79="",0,I79))/(D79/3.305785),0))</f>
        <v/>
      </c>
    </row>
    <row r="80" ht="18" customHeight="1" spans="1:25" x14ac:dyDescent="0.25">
      <c r="A80" s="25"/>
      <c r="B80" s="25"/>
      <c r="C80" s="26"/>
      <c r="D80" s="26"/>
      <c r="E80" s="27"/>
      <c r="F80" s="25"/>
      <c r="G80" s="28"/>
      <c r="H80" s="28"/>
      <c r="I80" s="28"/>
      <c r="J80" s="29"/>
      <c r="K80" s="29"/>
      <c r="L80" s="29"/>
      <c r="M80" s="25"/>
      <c r="N80" s="25"/>
      <c r="O80" s="25"/>
      <c r="P80" s="27"/>
      <c r="Q80" s="30" t="str">
        <f>IF(OR($A80="",C80=""),"",C80/3.305785)</f>
        <v/>
      </c>
      <c r="R80" s="30" t="str">
        <f>IF(OR($A80="",D80=""),"",D80/3.305785)</f>
        <v/>
      </c>
      <c r="S80" s="31" t="str">
        <f>IF(OR($A80="",C80="",D80=""),"",IF(C80&gt;0,D80/C80*100,""))</f>
        <v/>
      </c>
      <c r="T80" s="32" t="str">
        <f>IF(OR($A80="",O80&lt;&gt;"임대중",F80&lt;&gt;"상가",G80=""),"",G80+H80*100)</f>
        <v/>
      </c>
      <c r="U80" s="33" t="str">
        <f>IF(T80="","",IF(T80&lt;=$C$7,"○ 전면적용","× 초과 (5%상한 미적용)"))</f>
        <v/>
      </c>
      <c r="V80" s="33" t="str">
        <f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  <v/>
      </c>
      <c r="W80" s="33" t="str">
        <f>IF($A80="","",IF(O80="공실","공실",IF(O80="자가사용","자가사용",IF(L80="","만료일 없음",IF(L80&lt;$C$6,"만료 +"&amp;TEXT($C$6-L80,"0")&amp;"일",IF(L80-$C$6&lt;=30,"임박 "&amp;TEXT(L80-$C$6,"0")&amp;"일","유효"))))))</f>
        <v/>
      </c>
      <c r="X80" s="32" t="str">
        <f>IF(OR($A80="",O80&lt;&gt;"임대중"),"",IF(H80="",0,H80)+IF(I80="",0,I80))</f>
        <v/>
      </c>
      <c r="Y80" s="32" t="str">
        <f>IF(OR($A80="",O80&lt;&gt;"임대중",D80="",H80=""),"",ROUND((H80+IF(I80="",0,I80))/(D80/3.305785),0))</f>
        <v/>
      </c>
    </row>
    <row r="81" ht="18" customHeight="1" spans="1:25" x14ac:dyDescent="0.25">
      <c r="A81" s="25"/>
      <c r="B81" s="25"/>
      <c r="C81" s="26"/>
      <c r="D81" s="26"/>
      <c r="E81" s="27"/>
      <c r="F81" s="25"/>
      <c r="G81" s="28"/>
      <c r="H81" s="28"/>
      <c r="I81" s="28"/>
      <c r="J81" s="29"/>
      <c r="K81" s="29"/>
      <c r="L81" s="29"/>
      <c r="M81" s="25"/>
      <c r="N81" s="25"/>
      <c r="O81" s="25"/>
      <c r="P81" s="27"/>
      <c r="Q81" s="30" t="str">
        <f>IF(OR($A81="",C81=""),"",C81/3.305785)</f>
        <v/>
      </c>
      <c r="R81" s="30" t="str">
        <f>IF(OR($A81="",D81=""),"",D81/3.305785)</f>
        <v/>
      </c>
      <c r="S81" s="31" t="str">
        <f>IF(OR($A81="",C81="",D81=""),"",IF(C81&gt;0,D81/C81*100,""))</f>
        <v/>
      </c>
      <c r="T81" s="32" t="str">
        <f>IF(OR($A81="",O81&lt;&gt;"임대중",F81&lt;&gt;"상가",G81=""),"",G81+H81*100)</f>
        <v/>
      </c>
      <c r="U81" s="33" t="str">
        <f>IF(T81="","",IF(T81&lt;=$C$7,"○ 전면적용","× 초과 (5%상한 미적용)"))</f>
        <v/>
      </c>
      <c r="V81" s="33" t="str">
        <f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  <v/>
      </c>
      <c r="W81" s="33" t="str">
        <f>IF($A81="","",IF(O81="공실","공실",IF(O81="자가사용","자가사용",IF(L81="","만료일 없음",IF(L81&lt;$C$6,"만료 +"&amp;TEXT($C$6-L81,"0")&amp;"일",IF(L81-$C$6&lt;=30,"임박 "&amp;TEXT(L81-$C$6,"0")&amp;"일","유효"))))))</f>
        <v/>
      </c>
      <c r="X81" s="32" t="str">
        <f>IF(OR($A81="",O81&lt;&gt;"임대중"),"",IF(H81="",0,H81)+IF(I81="",0,I81))</f>
        <v/>
      </c>
      <c r="Y81" s="32" t="str">
        <f>IF(OR($A81="",O81&lt;&gt;"임대중",D81="",H81=""),"",ROUND((H81+IF(I81="",0,I81))/(D81/3.305785),0))</f>
        <v/>
      </c>
    </row>
    <row r="82" ht="18" customHeight="1" spans="1:25" x14ac:dyDescent="0.25">
      <c r="A82" s="25"/>
      <c r="B82" s="25"/>
      <c r="C82" s="26"/>
      <c r="D82" s="26"/>
      <c r="E82" s="27"/>
      <c r="F82" s="25"/>
      <c r="G82" s="28"/>
      <c r="H82" s="28"/>
      <c r="I82" s="28"/>
      <c r="J82" s="29"/>
      <c r="K82" s="29"/>
      <c r="L82" s="29"/>
      <c r="M82" s="25"/>
      <c r="N82" s="25"/>
      <c r="O82" s="25"/>
      <c r="P82" s="27"/>
      <c r="Q82" s="30" t="str">
        <f>IF(OR($A82="",C82=""),"",C82/3.305785)</f>
        <v/>
      </c>
      <c r="R82" s="30" t="str">
        <f>IF(OR($A82="",D82=""),"",D82/3.305785)</f>
        <v/>
      </c>
      <c r="S82" s="31" t="str">
        <f>IF(OR($A82="",C82="",D82=""),"",IF(C82&gt;0,D82/C82*100,""))</f>
        <v/>
      </c>
      <c r="T82" s="32" t="str">
        <f>IF(OR($A82="",O82&lt;&gt;"임대중",F82&lt;&gt;"상가",G82=""),"",G82+H82*100)</f>
        <v/>
      </c>
      <c r="U82" s="33" t="str">
        <f>IF(T82="","",IF(T82&lt;=$C$7,"○ 전면적용","× 초과 (5%상한 미적용)"))</f>
        <v/>
      </c>
      <c r="V82" s="33" t="str">
        <f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  <v/>
      </c>
      <c r="W82" s="33" t="str">
        <f>IF($A82="","",IF(O82="공실","공실",IF(O82="자가사용","자가사용",IF(L82="","만료일 없음",IF(L82&lt;$C$6,"만료 +"&amp;TEXT($C$6-L82,"0")&amp;"일",IF(L82-$C$6&lt;=30,"임박 "&amp;TEXT(L82-$C$6,"0")&amp;"일","유효"))))))</f>
        <v/>
      </c>
      <c r="X82" s="32" t="str">
        <f>IF(OR($A82="",O82&lt;&gt;"임대중"),"",IF(H82="",0,H82)+IF(I82="",0,I82))</f>
        <v/>
      </c>
      <c r="Y82" s="32" t="str">
        <f>IF(OR($A82="",O82&lt;&gt;"임대중",D82="",H82=""),"",ROUND((H82+IF(I82="",0,I82))/(D82/3.305785),0))</f>
        <v/>
      </c>
    </row>
    <row r="83" ht="18" customHeight="1" spans="1:25" x14ac:dyDescent="0.25">
      <c r="A83" s="25"/>
      <c r="B83" s="25"/>
      <c r="C83" s="26"/>
      <c r="D83" s="26"/>
      <c r="E83" s="27"/>
      <c r="F83" s="25"/>
      <c r="G83" s="28"/>
      <c r="H83" s="28"/>
      <c r="I83" s="28"/>
      <c r="J83" s="29"/>
      <c r="K83" s="29"/>
      <c r="L83" s="29"/>
      <c r="M83" s="25"/>
      <c r="N83" s="25"/>
      <c r="O83" s="25"/>
      <c r="P83" s="27"/>
      <c r="Q83" s="30" t="str">
        <f>IF(OR($A83="",C83=""),"",C83/3.305785)</f>
        <v/>
      </c>
      <c r="R83" s="30" t="str">
        <f>IF(OR($A83="",D83=""),"",D83/3.305785)</f>
        <v/>
      </c>
      <c r="S83" s="31" t="str">
        <f>IF(OR($A83="",C83="",D83=""),"",IF(C83&gt;0,D83/C83*100,""))</f>
        <v/>
      </c>
      <c r="T83" s="32" t="str">
        <f>IF(OR($A83="",O83&lt;&gt;"임대중",F83&lt;&gt;"상가",G83=""),"",G83+H83*100)</f>
        <v/>
      </c>
      <c r="U83" s="33" t="str">
        <f>IF(T83="","",IF(T83&lt;=$C$7,"○ 전면적용","× 초과 (5%상한 미적용)"))</f>
        <v/>
      </c>
      <c r="V83" s="33" t="str">
        <f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  <v/>
      </c>
      <c r="W83" s="33" t="str">
        <f>IF($A83="","",IF(O83="공실","공실",IF(O83="자가사용","자가사용",IF(L83="","만료일 없음",IF(L83&lt;$C$6,"만료 +"&amp;TEXT($C$6-L83,"0")&amp;"일",IF(L83-$C$6&lt;=30,"임박 "&amp;TEXT(L83-$C$6,"0")&amp;"일","유효"))))))</f>
        <v/>
      </c>
      <c r="X83" s="32" t="str">
        <f>IF(OR($A83="",O83&lt;&gt;"임대중"),"",IF(H83="",0,H83)+IF(I83="",0,I83))</f>
        <v/>
      </c>
      <c r="Y83" s="32" t="str">
        <f>IF(OR($A83="",O83&lt;&gt;"임대중",D83="",H83=""),"",ROUND((H83+IF(I83="",0,I83))/(D83/3.305785),0))</f>
        <v/>
      </c>
    </row>
    <row r="84" ht="18" customHeight="1" spans="1:25" x14ac:dyDescent="0.25">
      <c r="A84" s="25"/>
      <c r="B84" s="25"/>
      <c r="C84" s="26"/>
      <c r="D84" s="26"/>
      <c r="E84" s="27"/>
      <c r="F84" s="25"/>
      <c r="G84" s="28"/>
      <c r="H84" s="28"/>
      <c r="I84" s="28"/>
      <c r="J84" s="29"/>
      <c r="K84" s="29"/>
      <c r="L84" s="29"/>
      <c r="M84" s="25"/>
      <c r="N84" s="25"/>
      <c r="O84" s="25"/>
      <c r="P84" s="27"/>
      <c r="Q84" s="30" t="str">
        <f>IF(OR($A84="",C84=""),"",C84/3.305785)</f>
        <v/>
      </c>
      <c r="R84" s="30" t="str">
        <f>IF(OR($A84="",D84=""),"",D84/3.305785)</f>
        <v/>
      </c>
      <c r="S84" s="31" t="str">
        <f>IF(OR($A84="",C84="",D84=""),"",IF(C84&gt;0,D84/C84*100,""))</f>
        <v/>
      </c>
      <c r="T84" s="32" t="str">
        <f>IF(OR($A84="",O84&lt;&gt;"임대중",F84&lt;&gt;"상가",G84=""),"",G84+H84*100)</f>
        <v/>
      </c>
      <c r="U84" s="33" t="str">
        <f>IF(T84="","",IF(T84&lt;=$C$7,"○ 전면적용","× 초과 (5%상한 미적용)"))</f>
        <v/>
      </c>
      <c r="V84" s="33" t="str">
        <f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  <v/>
      </c>
      <c r="W84" s="33" t="str">
        <f>IF($A84="","",IF(O84="공실","공실",IF(O84="자가사용","자가사용",IF(L84="","만료일 없음",IF(L84&lt;$C$6,"만료 +"&amp;TEXT($C$6-L84,"0")&amp;"일",IF(L84-$C$6&lt;=30,"임박 "&amp;TEXT(L84-$C$6,"0")&amp;"일","유효"))))))</f>
        <v/>
      </c>
      <c r="X84" s="32" t="str">
        <f>IF(OR($A84="",O84&lt;&gt;"임대중"),"",IF(H84="",0,H84)+IF(I84="",0,I84))</f>
        <v/>
      </c>
      <c r="Y84" s="32" t="str">
        <f>IF(OR($A84="",O84&lt;&gt;"임대중",D84="",H84=""),"",ROUND((H84+IF(I84="",0,I84))/(D84/3.305785),0))</f>
        <v/>
      </c>
    </row>
    <row r="85" ht="18" customHeight="1" spans="1:25" x14ac:dyDescent="0.25">
      <c r="A85" s="25"/>
      <c r="B85" s="25"/>
      <c r="C85" s="26"/>
      <c r="D85" s="26"/>
      <c r="E85" s="27"/>
      <c r="F85" s="25"/>
      <c r="G85" s="28"/>
      <c r="H85" s="28"/>
      <c r="I85" s="28"/>
      <c r="J85" s="29"/>
      <c r="K85" s="29"/>
      <c r="L85" s="29"/>
      <c r="M85" s="25"/>
      <c r="N85" s="25"/>
      <c r="O85" s="25"/>
      <c r="P85" s="27"/>
      <c r="Q85" s="30" t="str">
        <f>IF(OR($A85="",C85=""),"",C85/3.305785)</f>
        <v/>
      </c>
      <c r="R85" s="30" t="str">
        <f>IF(OR($A85="",D85=""),"",D85/3.305785)</f>
        <v/>
      </c>
      <c r="S85" s="31" t="str">
        <f>IF(OR($A85="",C85="",D85=""),"",IF(C85&gt;0,D85/C85*100,""))</f>
        <v/>
      </c>
      <c r="T85" s="32" t="str">
        <f>IF(OR($A85="",O85&lt;&gt;"임대중",F85&lt;&gt;"상가",G85=""),"",G85+H85*100)</f>
        <v/>
      </c>
      <c r="U85" s="33" t="str">
        <f>IF(T85="","",IF(T85&lt;=$C$7,"○ 전면적용","× 초과 (5%상한 미적용)"))</f>
        <v/>
      </c>
      <c r="V85" s="33" t="str">
        <f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  <v/>
      </c>
      <c r="W85" s="33" t="str">
        <f>IF($A85="","",IF(O85="공실","공실",IF(O85="자가사용","자가사용",IF(L85="","만료일 없음",IF(L85&lt;$C$6,"만료 +"&amp;TEXT($C$6-L85,"0")&amp;"일",IF(L85-$C$6&lt;=30,"임박 "&amp;TEXT(L85-$C$6,"0")&amp;"일","유효"))))))</f>
        <v/>
      </c>
      <c r="X85" s="32" t="str">
        <f>IF(OR($A85="",O85&lt;&gt;"임대중"),"",IF(H85="",0,H85)+IF(I85="",0,I85))</f>
        <v/>
      </c>
      <c r="Y85" s="32" t="str">
        <f>IF(OR($A85="",O85&lt;&gt;"임대중",D85="",H85=""),"",ROUND((H85+IF(I85="",0,I85))/(D85/3.305785),0))</f>
        <v/>
      </c>
    </row>
    <row r="86" ht="18" customHeight="1" spans="1:25" x14ac:dyDescent="0.25">
      <c r="A86" s="25"/>
      <c r="B86" s="25"/>
      <c r="C86" s="26"/>
      <c r="D86" s="26"/>
      <c r="E86" s="27"/>
      <c r="F86" s="25"/>
      <c r="G86" s="28"/>
      <c r="H86" s="28"/>
      <c r="I86" s="28"/>
      <c r="J86" s="29"/>
      <c r="K86" s="29"/>
      <c r="L86" s="29"/>
      <c r="M86" s="25"/>
      <c r="N86" s="25"/>
      <c r="O86" s="25"/>
      <c r="P86" s="27"/>
      <c r="Q86" s="30" t="str">
        <f>IF(OR($A86="",C86=""),"",C86/3.305785)</f>
        <v/>
      </c>
      <c r="R86" s="30" t="str">
        <f>IF(OR($A86="",D86=""),"",D86/3.305785)</f>
        <v/>
      </c>
      <c r="S86" s="31" t="str">
        <f>IF(OR($A86="",C86="",D86=""),"",IF(C86&gt;0,D86/C86*100,""))</f>
        <v/>
      </c>
      <c r="T86" s="32" t="str">
        <f>IF(OR($A86="",O86&lt;&gt;"임대중",F86&lt;&gt;"상가",G86=""),"",G86+H86*100)</f>
        <v/>
      </c>
      <c r="U86" s="33" t="str">
        <f>IF(T86="","",IF(T86&lt;=$C$7,"○ 전면적용","× 초과 (5%상한 미적용)"))</f>
        <v/>
      </c>
      <c r="V86" s="33" t="str">
        <f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  <v/>
      </c>
      <c r="W86" s="33" t="str">
        <f>IF($A86="","",IF(O86="공실","공실",IF(O86="자가사용","자가사용",IF(L86="","만료일 없음",IF(L86&lt;$C$6,"만료 +"&amp;TEXT($C$6-L86,"0")&amp;"일",IF(L86-$C$6&lt;=30,"임박 "&amp;TEXT(L86-$C$6,"0")&amp;"일","유효"))))))</f>
        <v/>
      </c>
      <c r="X86" s="32" t="str">
        <f>IF(OR($A86="",O86&lt;&gt;"임대중"),"",IF(H86="",0,H86)+IF(I86="",0,I86))</f>
        <v/>
      </c>
      <c r="Y86" s="32" t="str">
        <f>IF(OR($A86="",O86&lt;&gt;"임대중",D86="",H86=""),"",ROUND((H86+IF(I86="",0,I86))/(D86/3.305785),0))</f>
        <v/>
      </c>
    </row>
    <row r="87" ht="18" customHeight="1" spans="1:25" x14ac:dyDescent="0.25">
      <c r="A87" s="25"/>
      <c r="B87" s="25"/>
      <c r="C87" s="26"/>
      <c r="D87" s="26"/>
      <c r="E87" s="27"/>
      <c r="F87" s="25"/>
      <c r="G87" s="28"/>
      <c r="H87" s="28"/>
      <c r="I87" s="28"/>
      <c r="J87" s="29"/>
      <c r="K87" s="29"/>
      <c r="L87" s="29"/>
      <c r="M87" s="25"/>
      <c r="N87" s="25"/>
      <c r="O87" s="25"/>
      <c r="P87" s="27"/>
      <c r="Q87" s="30" t="str">
        <f>IF(OR($A87="",C87=""),"",C87/3.305785)</f>
        <v/>
      </c>
      <c r="R87" s="30" t="str">
        <f>IF(OR($A87="",D87=""),"",D87/3.305785)</f>
        <v/>
      </c>
      <c r="S87" s="31" t="str">
        <f>IF(OR($A87="",C87="",D87=""),"",IF(C87&gt;0,D87/C87*100,""))</f>
        <v/>
      </c>
      <c r="T87" s="32" t="str">
        <f>IF(OR($A87="",O87&lt;&gt;"임대중",F87&lt;&gt;"상가",G87=""),"",G87+H87*100)</f>
        <v/>
      </c>
      <c r="U87" s="33" t="str">
        <f>IF(T87="","",IF(T87&lt;=$C$7,"○ 전면적용","× 초과 (5%상한 미적용)"))</f>
        <v/>
      </c>
      <c r="V87" s="33" t="str">
        <f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  <v/>
      </c>
      <c r="W87" s="33" t="str">
        <f>IF($A87="","",IF(O87="공실","공실",IF(O87="자가사용","자가사용",IF(L87="","만료일 없음",IF(L87&lt;$C$6,"만료 +"&amp;TEXT($C$6-L87,"0")&amp;"일",IF(L87-$C$6&lt;=30,"임박 "&amp;TEXT(L87-$C$6,"0")&amp;"일","유효"))))))</f>
        <v/>
      </c>
      <c r="X87" s="32" t="str">
        <f>IF(OR($A87="",O87&lt;&gt;"임대중"),"",IF(H87="",0,H87)+IF(I87="",0,I87))</f>
        <v/>
      </c>
      <c r="Y87" s="32" t="str">
        <f>IF(OR($A87="",O87&lt;&gt;"임대중",D87="",H87=""),"",ROUND((H87+IF(I87="",0,I87))/(D87/3.305785),0))</f>
        <v/>
      </c>
    </row>
    <row r="88" ht="18" customHeight="1" spans="1:25" x14ac:dyDescent="0.25">
      <c r="A88" s="25"/>
      <c r="B88" s="25"/>
      <c r="C88" s="26"/>
      <c r="D88" s="26"/>
      <c r="E88" s="27"/>
      <c r="F88" s="25"/>
      <c r="G88" s="28"/>
      <c r="H88" s="28"/>
      <c r="I88" s="28"/>
      <c r="J88" s="29"/>
      <c r="K88" s="29"/>
      <c r="L88" s="29"/>
      <c r="M88" s="25"/>
      <c r="N88" s="25"/>
      <c r="O88" s="25"/>
      <c r="P88" s="27"/>
      <c r="Q88" s="30" t="str">
        <f>IF(OR($A88="",C88=""),"",C88/3.305785)</f>
        <v/>
      </c>
      <c r="R88" s="30" t="str">
        <f>IF(OR($A88="",D88=""),"",D88/3.305785)</f>
        <v/>
      </c>
      <c r="S88" s="31" t="str">
        <f>IF(OR($A88="",C88="",D88=""),"",IF(C88&gt;0,D88/C88*100,""))</f>
        <v/>
      </c>
      <c r="T88" s="32" t="str">
        <f>IF(OR($A88="",O88&lt;&gt;"임대중",F88&lt;&gt;"상가",G88=""),"",G88+H88*100)</f>
        <v/>
      </c>
      <c r="U88" s="33" t="str">
        <f>IF(T88="","",IF(T88&lt;=$C$7,"○ 전면적용","× 초과 (5%상한 미적용)"))</f>
        <v/>
      </c>
      <c r="V88" s="33" t="str">
        <f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  <v/>
      </c>
      <c r="W88" s="33" t="str">
        <f>IF($A88="","",IF(O88="공실","공실",IF(O88="자가사용","자가사용",IF(L88="","만료일 없음",IF(L88&lt;$C$6,"만료 +"&amp;TEXT($C$6-L88,"0")&amp;"일",IF(L88-$C$6&lt;=30,"임박 "&amp;TEXT(L88-$C$6,"0")&amp;"일","유효"))))))</f>
        <v/>
      </c>
      <c r="X88" s="32" t="str">
        <f>IF(OR($A88="",O88&lt;&gt;"임대중"),"",IF(H88="",0,H88)+IF(I88="",0,I88))</f>
        <v/>
      </c>
      <c r="Y88" s="32" t="str">
        <f>IF(OR($A88="",O88&lt;&gt;"임대중",D88="",H88=""),"",ROUND((H88+IF(I88="",0,I88))/(D88/3.305785),0))</f>
        <v/>
      </c>
    </row>
    <row r="89" ht="18" customHeight="1" spans="1:25" x14ac:dyDescent="0.25">
      <c r="A89" s="25"/>
      <c r="B89" s="25"/>
      <c r="C89" s="26"/>
      <c r="D89" s="26"/>
      <c r="E89" s="27"/>
      <c r="F89" s="25"/>
      <c r="G89" s="28"/>
      <c r="H89" s="28"/>
      <c r="I89" s="28"/>
      <c r="J89" s="29"/>
      <c r="K89" s="29"/>
      <c r="L89" s="29"/>
      <c r="M89" s="25"/>
      <c r="N89" s="25"/>
      <c r="O89" s="25"/>
      <c r="P89" s="27"/>
      <c r="Q89" s="30" t="str">
        <f>IF(OR($A89="",C89=""),"",C89/3.305785)</f>
        <v/>
      </c>
      <c r="R89" s="30" t="str">
        <f>IF(OR($A89="",D89=""),"",D89/3.305785)</f>
        <v/>
      </c>
      <c r="S89" s="31" t="str">
        <f>IF(OR($A89="",C89="",D89=""),"",IF(C89&gt;0,D89/C89*100,""))</f>
        <v/>
      </c>
      <c r="T89" s="32" t="str">
        <f>IF(OR($A89="",O89&lt;&gt;"임대중",F89&lt;&gt;"상가",G89=""),"",G89+H89*100)</f>
        <v/>
      </c>
      <c r="U89" s="33" t="str">
        <f>IF(T89="","",IF(T89&lt;=$C$7,"○ 전면적용","× 초과 (5%상한 미적용)"))</f>
        <v/>
      </c>
      <c r="V89" s="33" t="str">
        <f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  <v/>
      </c>
      <c r="W89" s="33" t="str">
        <f>IF($A89="","",IF(O89="공실","공실",IF(O89="자가사용","자가사용",IF(L89="","만료일 없음",IF(L89&lt;$C$6,"만료 +"&amp;TEXT($C$6-L89,"0")&amp;"일",IF(L89-$C$6&lt;=30,"임박 "&amp;TEXT(L89-$C$6,"0")&amp;"일","유효"))))))</f>
        <v/>
      </c>
      <c r="X89" s="32" t="str">
        <f>IF(OR($A89="",O89&lt;&gt;"임대중"),"",IF(H89="",0,H89)+IF(I89="",0,I89))</f>
        <v/>
      </c>
      <c r="Y89" s="32" t="str">
        <f>IF(OR($A89="",O89&lt;&gt;"임대중",D89="",H89=""),"",ROUND((H89+IF(I89="",0,I89))/(D89/3.305785),0))</f>
        <v/>
      </c>
    </row>
    <row r="90" ht="18" customHeight="1" spans="1:25" x14ac:dyDescent="0.25">
      <c r="A90" s="25"/>
      <c r="B90" s="25"/>
      <c r="C90" s="26"/>
      <c r="D90" s="26"/>
      <c r="E90" s="27"/>
      <c r="F90" s="25"/>
      <c r="G90" s="28"/>
      <c r="H90" s="28"/>
      <c r="I90" s="28"/>
      <c r="J90" s="29"/>
      <c r="K90" s="29"/>
      <c r="L90" s="29"/>
      <c r="M90" s="25"/>
      <c r="N90" s="25"/>
      <c r="O90" s="25"/>
      <c r="P90" s="27"/>
      <c r="Q90" s="30" t="str">
        <f>IF(OR($A90="",C90=""),"",C90/3.305785)</f>
        <v/>
      </c>
      <c r="R90" s="30" t="str">
        <f>IF(OR($A90="",D90=""),"",D90/3.305785)</f>
        <v/>
      </c>
      <c r="S90" s="31" t="str">
        <f>IF(OR($A90="",C90="",D90=""),"",IF(C90&gt;0,D90/C90*100,""))</f>
        <v/>
      </c>
      <c r="T90" s="32" t="str">
        <f>IF(OR($A90="",O90&lt;&gt;"임대중",F90&lt;&gt;"상가",G90=""),"",G90+H90*100)</f>
        <v/>
      </c>
      <c r="U90" s="33" t="str">
        <f>IF(T90="","",IF(T90&lt;=$C$7,"○ 전면적용","× 초과 (5%상한 미적용)"))</f>
        <v/>
      </c>
      <c r="V90" s="33" t="str">
        <f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  <v/>
      </c>
      <c r="W90" s="33" t="str">
        <f>IF($A90="","",IF(O90="공실","공실",IF(O90="자가사용","자가사용",IF(L90="","만료일 없음",IF(L90&lt;$C$6,"만료 +"&amp;TEXT($C$6-L90,"0")&amp;"일",IF(L90-$C$6&lt;=30,"임박 "&amp;TEXT(L90-$C$6,"0")&amp;"일","유효"))))))</f>
        <v/>
      </c>
      <c r="X90" s="32" t="str">
        <f>IF(OR($A90="",O90&lt;&gt;"임대중"),"",IF(H90="",0,H90)+IF(I90="",0,I90))</f>
        <v/>
      </c>
      <c r="Y90" s="32" t="str">
        <f>IF(OR($A90="",O90&lt;&gt;"임대중",D90="",H90=""),"",ROUND((H90+IF(I90="",0,I90))/(D90/3.305785),0))</f>
        <v/>
      </c>
    </row>
    <row r="91" ht="18" customHeight="1" spans="1:25" x14ac:dyDescent="0.25">
      <c r="A91" s="25"/>
      <c r="B91" s="25"/>
      <c r="C91" s="26"/>
      <c r="D91" s="26"/>
      <c r="E91" s="27"/>
      <c r="F91" s="25"/>
      <c r="G91" s="28"/>
      <c r="H91" s="28"/>
      <c r="I91" s="28"/>
      <c r="J91" s="29"/>
      <c r="K91" s="29"/>
      <c r="L91" s="29"/>
      <c r="M91" s="25"/>
      <c r="N91" s="25"/>
      <c r="O91" s="25"/>
      <c r="P91" s="27"/>
      <c r="Q91" s="30" t="str">
        <f>IF(OR($A91="",C91=""),"",C91/3.305785)</f>
        <v/>
      </c>
      <c r="R91" s="30" t="str">
        <f>IF(OR($A91="",D91=""),"",D91/3.305785)</f>
        <v/>
      </c>
      <c r="S91" s="31" t="str">
        <f>IF(OR($A91="",C91="",D91=""),"",IF(C91&gt;0,D91/C91*100,""))</f>
        <v/>
      </c>
      <c r="T91" s="32" t="str">
        <f>IF(OR($A91="",O91&lt;&gt;"임대중",F91&lt;&gt;"상가",G91=""),"",G91+H91*100)</f>
        <v/>
      </c>
      <c r="U91" s="33" t="str">
        <f>IF(T91="","",IF(T91&lt;=$C$7,"○ 전면적용","× 초과 (5%상한 미적용)"))</f>
        <v/>
      </c>
      <c r="V91" s="33" t="str">
        <f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  <v/>
      </c>
      <c r="W91" s="33" t="str">
        <f>IF($A91="","",IF(O91="공실","공실",IF(O91="자가사용","자가사용",IF(L91="","만료일 없음",IF(L91&lt;$C$6,"만료 +"&amp;TEXT($C$6-L91,"0")&amp;"일",IF(L91-$C$6&lt;=30,"임박 "&amp;TEXT(L91-$C$6,"0")&amp;"일","유효"))))))</f>
        <v/>
      </c>
      <c r="X91" s="32" t="str">
        <f>IF(OR($A91="",O91&lt;&gt;"임대중"),"",IF(H91="",0,H91)+IF(I91="",0,I91))</f>
        <v/>
      </c>
      <c r="Y91" s="32" t="str">
        <f>IF(OR($A91="",O91&lt;&gt;"임대중",D91="",H91=""),"",ROUND((H91+IF(I91="",0,I91))/(D91/3.305785),0))</f>
        <v/>
      </c>
    </row>
    <row r="92" ht="18" customHeight="1" spans="1:25" x14ac:dyDescent="0.25">
      <c r="A92" s="25"/>
      <c r="B92" s="25"/>
      <c r="C92" s="26"/>
      <c r="D92" s="26"/>
      <c r="E92" s="27"/>
      <c r="F92" s="25"/>
      <c r="G92" s="28"/>
      <c r="H92" s="28"/>
      <c r="I92" s="28"/>
      <c r="J92" s="29"/>
      <c r="K92" s="29"/>
      <c r="L92" s="29"/>
      <c r="M92" s="25"/>
      <c r="N92" s="25"/>
      <c r="O92" s="25"/>
      <c r="P92" s="27"/>
      <c r="Q92" s="30" t="str">
        <f>IF(OR($A92="",C92=""),"",C92/3.305785)</f>
        <v/>
      </c>
      <c r="R92" s="30" t="str">
        <f>IF(OR($A92="",D92=""),"",D92/3.305785)</f>
        <v/>
      </c>
      <c r="S92" s="31" t="str">
        <f>IF(OR($A92="",C92="",D92=""),"",IF(C92&gt;0,D92/C92*100,""))</f>
        <v/>
      </c>
      <c r="T92" s="32" t="str">
        <f>IF(OR($A92="",O92&lt;&gt;"임대중",F92&lt;&gt;"상가",G92=""),"",G92+H92*100)</f>
        <v/>
      </c>
      <c r="U92" s="33" t="str">
        <f>IF(T92="","",IF(T92&lt;=$C$7,"○ 전면적용","× 초과 (5%상한 미적용)"))</f>
        <v/>
      </c>
      <c r="V92" s="33" t="str">
        <f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  <v/>
      </c>
      <c r="W92" s="33" t="str">
        <f>IF($A92="","",IF(O92="공실","공실",IF(O92="자가사용","자가사용",IF(L92="","만료일 없음",IF(L92&lt;$C$6,"만료 +"&amp;TEXT($C$6-L92,"0")&amp;"일",IF(L92-$C$6&lt;=30,"임박 "&amp;TEXT(L92-$C$6,"0")&amp;"일","유효"))))))</f>
        <v/>
      </c>
      <c r="X92" s="32" t="str">
        <f>IF(OR($A92="",O92&lt;&gt;"임대중"),"",IF(H92="",0,H92)+IF(I92="",0,I92))</f>
        <v/>
      </c>
      <c r="Y92" s="32" t="str">
        <f>IF(OR($A92="",O92&lt;&gt;"임대중",D92="",H92=""),"",ROUND((H92+IF(I92="",0,I92))/(D92/3.305785),0))</f>
        <v/>
      </c>
    </row>
    <row r="93" ht="18" customHeight="1" spans="1:25" x14ac:dyDescent="0.25">
      <c r="A93" s="25"/>
      <c r="B93" s="25"/>
      <c r="C93" s="26"/>
      <c r="D93" s="26"/>
      <c r="E93" s="27"/>
      <c r="F93" s="25"/>
      <c r="G93" s="28"/>
      <c r="H93" s="28"/>
      <c r="I93" s="28"/>
      <c r="J93" s="29"/>
      <c r="K93" s="29"/>
      <c r="L93" s="29"/>
      <c r="M93" s="25"/>
      <c r="N93" s="25"/>
      <c r="O93" s="25"/>
      <c r="P93" s="27"/>
      <c r="Q93" s="30" t="str">
        <f>IF(OR($A93="",C93=""),"",C93/3.305785)</f>
        <v/>
      </c>
      <c r="R93" s="30" t="str">
        <f>IF(OR($A93="",D93=""),"",D93/3.305785)</f>
        <v/>
      </c>
      <c r="S93" s="31" t="str">
        <f>IF(OR($A93="",C93="",D93=""),"",IF(C93&gt;0,D93/C93*100,""))</f>
        <v/>
      </c>
      <c r="T93" s="32" t="str">
        <f>IF(OR($A93="",O93&lt;&gt;"임대중",F93&lt;&gt;"상가",G93=""),"",G93+H93*100)</f>
        <v/>
      </c>
      <c r="U93" s="33" t="str">
        <f>IF(T93="","",IF(T93&lt;=$C$7,"○ 전면적용","× 초과 (5%상한 미적용)"))</f>
        <v/>
      </c>
      <c r="V93" s="33" t="str">
        <f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  <v/>
      </c>
      <c r="W93" s="33" t="str">
        <f>IF($A93="","",IF(O93="공실","공실",IF(O93="자가사용","자가사용",IF(L93="","만료일 없음",IF(L93&lt;$C$6,"만료 +"&amp;TEXT($C$6-L93,"0")&amp;"일",IF(L93-$C$6&lt;=30,"임박 "&amp;TEXT(L93-$C$6,"0")&amp;"일","유효"))))))</f>
        <v/>
      </c>
      <c r="X93" s="32" t="str">
        <f>IF(OR($A93="",O93&lt;&gt;"임대중"),"",IF(H93="",0,H93)+IF(I93="",0,I93))</f>
        <v/>
      </c>
      <c r="Y93" s="32" t="str">
        <f>IF(OR($A93="",O93&lt;&gt;"임대중",D93="",H93=""),"",ROUND((H93+IF(I93="",0,I93))/(D93/3.305785),0))</f>
        <v/>
      </c>
    </row>
    <row r="94" ht="18" customHeight="1" spans="1:25" x14ac:dyDescent="0.25">
      <c r="A94" s="25"/>
      <c r="B94" s="25"/>
      <c r="C94" s="26"/>
      <c r="D94" s="26"/>
      <c r="E94" s="27"/>
      <c r="F94" s="25"/>
      <c r="G94" s="28"/>
      <c r="H94" s="28"/>
      <c r="I94" s="28"/>
      <c r="J94" s="29"/>
      <c r="K94" s="29"/>
      <c r="L94" s="29"/>
      <c r="M94" s="25"/>
      <c r="N94" s="25"/>
      <c r="O94" s="25"/>
      <c r="P94" s="27"/>
      <c r="Q94" s="30" t="str">
        <f>IF(OR($A94="",C94=""),"",C94/3.305785)</f>
        <v/>
      </c>
      <c r="R94" s="30" t="str">
        <f>IF(OR($A94="",D94=""),"",D94/3.305785)</f>
        <v/>
      </c>
      <c r="S94" s="31" t="str">
        <f>IF(OR($A94="",C94="",D94=""),"",IF(C94&gt;0,D94/C94*100,""))</f>
        <v/>
      </c>
      <c r="T94" s="32" t="str">
        <f>IF(OR($A94="",O94&lt;&gt;"임대중",F94&lt;&gt;"상가",G94=""),"",G94+H94*100)</f>
        <v/>
      </c>
      <c r="U94" s="33" t="str">
        <f>IF(T94="","",IF(T94&lt;=$C$7,"○ 전면적용","× 초과 (5%상한 미적용)"))</f>
        <v/>
      </c>
      <c r="V94" s="33" t="str">
        <f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  <v/>
      </c>
      <c r="W94" s="33" t="str">
        <f>IF($A94="","",IF(O94="공실","공실",IF(O94="자가사용","자가사용",IF(L94="","만료일 없음",IF(L94&lt;$C$6,"만료 +"&amp;TEXT($C$6-L94,"0")&amp;"일",IF(L94-$C$6&lt;=30,"임박 "&amp;TEXT(L94-$C$6,"0")&amp;"일","유효"))))))</f>
        <v/>
      </c>
      <c r="X94" s="32" t="str">
        <f>IF(OR($A94="",O94&lt;&gt;"임대중"),"",IF(H94="",0,H94)+IF(I94="",0,I94))</f>
        <v/>
      </c>
      <c r="Y94" s="32" t="str">
        <f>IF(OR($A94="",O94&lt;&gt;"임대중",D94="",H94=""),"",ROUND((H94+IF(I94="",0,I94))/(D94/3.305785),0))</f>
        <v/>
      </c>
    </row>
    <row r="95" ht="18" customHeight="1" spans="1:25" x14ac:dyDescent="0.25">
      <c r="A95" s="25"/>
      <c r="B95" s="25"/>
      <c r="C95" s="26"/>
      <c r="D95" s="26"/>
      <c r="E95" s="27"/>
      <c r="F95" s="25"/>
      <c r="G95" s="28"/>
      <c r="H95" s="28"/>
      <c r="I95" s="28"/>
      <c r="J95" s="29"/>
      <c r="K95" s="29"/>
      <c r="L95" s="29"/>
      <c r="M95" s="25"/>
      <c r="N95" s="25"/>
      <c r="O95" s="25"/>
      <c r="P95" s="27"/>
      <c r="Q95" s="30" t="str">
        <f>IF(OR($A95="",C95=""),"",C95/3.305785)</f>
        <v/>
      </c>
      <c r="R95" s="30" t="str">
        <f>IF(OR($A95="",D95=""),"",D95/3.305785)</f>
        <v/>
      </c>
      <c r="S95" s="31" t="str">
        <f>IF(OR($A95="",C95="",D95=""),"",IF(C95&gt;0,D95/C95*100,""))</f>
        <v/>
      </c>
      <c r="T95" s="32" t="str">
        <f>IF(OR($A95="",O95&lt;&gt;"임대중",F95&lt;&gt;"상가",G95=""),"",G95+H95*100)</f>
        <v/>
      </c>
      <c r="U95" s="33" t="str">
        <f>IF(T95="","",IF(T95&lt;=$C$7,"○ 전면적용","× 초과 (5%상한 미적용)"))</f>
        <v/>
      </c>
      <c r="V95" s="33" t="str">
        <f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  <v/>
      </c>
      <c r="W95" s="33" t="str">
        <f>IF($A95="","",IF(O95="공실","공실",IF(O95="자가사용","자가사용",IF(L95="","만료일 없음",IF(L95&lt;$C$6,"만료 +"&amp;TEXT($C$6-L95,"0")&amp;"일",IF(L95-$C$6&lt;=30,"임박 "&amp;TEXT(L95-$C$6,"0")&amp;"일","유효"))))))</f>
        <v/>
      </c>
      <c r="X95" s="32" t="str">
        <f>IF(OR($A95="",O95&lt;&gt;"임대중"),"",IF(H95="",0,H95)+IF(I95="",0,I95))</f>
        <v/>
      </c>
      <c r="Y95" s="32" t="str">
        <f>IF(OR($A95="",O95&lt;&gt;"임대중",D95="",H95=""),"",ROUND((H95+IF(I95="",0,I95))/(D95/3.305785),0))</f>
        <v/>
      </c>
    </row>
    <row r="96" ht="18" customHeight="1" spans="1:25" x14ac:dyDescent="0.25">
      <c r="A96" s="25"/>
      <c r="B96" s="25"/>
      <c r="C96" s="26"/>
      <c r="D96" s="26"/>
      <c r="E96" s="27"/>
      <c r="F96" s="25"/>
      <c r="G96" s="28"/>
      <c r="H96" s="28"/>
      <c r="I96" s="28"/>
      <c r="J96" s="29"/>
      <c r="K96" s="29"/>
      <c r="L96" s="29"/>
      <c r="M96" s="25"/>
      <c r="N96" s="25"/>
      <c r="O96" s="25"/>
      <c r="P96" s="27"/>
      <c r="Q96" s="30" t="str">
        <f>IF(OR($A96="",C96=""),"",C96/3.305785)</f>
        <v/>
      </c>
      <c r="R96" s="30" t="str">
        <f>IF(OR($A96="",D96=""),"",D96/3.305785)</f>
        <v/>
      </c>
      <c r="S96" s="31" t="str">
        <f>IF(OR($A96="",C96="",D96=""),"",IF(C96&gt;0,D96/C96*100,""))</f>
        <v/>
      </c>
      <c r="T96" s="32" t="str">
        <f>IF(OR($A96="",O96&lt;&gt;"임대중",F96&lt;&gt;"상가",G96=""),"",G96+H96*100)</f>
        <v/>
      </c>
      <c r="U96" s="33" t="str">
        <f>IF(T96="","",IF(T96&lt;=$C$7,"○ 전면적용","× 초과 (5%상한 미적용)"))</f>
        <v/>
      </c>
      <c r="V96" s="33" t="str">
        <f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  <v/>
      </c>
      <c r="W96" s="33" t="str">
        <f>IF($A96="","",IF(O96="공실","공실",IF(O96="자가사용","자가사용",IF(L96="","만료일 없음",IF(L96&lt;$C$6,"만료 +"&amp;TEXT($C$6-L96,"0")&amp;"일",IF(L96-$C$6&lt;=30,"임박 "&amp;TEXT(L96-$C$6,"0")&amp;"일","유효"))))))</f>
        <v/>
      </c>
      <c r="X96" s="32" t="str">
        <f>IF(OR($A96="",O96&lt;&gt;"임대중"),"",IF(H96="",0,H96)+IF(I96="",0,I96))</f>
        <v/>
      </c>
      <c r="Y96" s="32" t="str">
        <f>IF(OR($A96="",O96&lt;&gt;"임대중",D96="",H96=""),"",ROUND((H96+IF(I96="",0,I96))/(D96/3.305785),0))</f>
        <v/>
      </c>
    </row>
    <row r="97" ht="18" customHeight="1" spans="1:25" x14ac:dyDescent="0.25">
      <c r="A97" s="25"/>
      <c r="B97" s="25"/>
      <c r="C97" s="26"/>
      <c r="D97" s="26"/>
      <c r="E97" s="27"/>
      <c r="F97" s="25"/>
      <c r="G97" s="28"/>
      <c r="H97" s="28"/>
      <c r="I97" s="28"/>
      <c r="J97" s="29"/>
      <c r="K97" s="29"/>
      <c r="L97" s="29"/>
      <c r="M97" s="25"/>
      <c r="N97" s="25"/>
      <c r="O97" s="25"/>
      <c r="P97" s="27"/>
      <c r="Q97" s="30" t="str">
        <f>IF(OR($A97="",C97=""),"",C97/3.305785)</f>
        <v/>
      </c>
      <c r="R97" s="30" t="str">
        <f>IF(OR($A97="",D97=""),"",D97/3.305785)</f>
        <v/>
      </c>
      <c r="S97" s="31" t="str">
        <f>IF(OR($A97="",C97="",D97=""),"",IF(C97&gt;0,D97/C97*100,""))</f>
        <v/>
      </c>
      <c r="T97" s="32" t="str">
        <f>IF(OR($A97="",O97&lt;&gt;"임대중",F97&lt;&gt;"상가",G97=""),"",G97+H97*100)</f>
        <v/>
      </c>
      <c r="U97" s="33" t="str">
        <f>IF(T97="","",IF(T97&lt;=$C$7,"○ 전면적용","× 초과 (5%상한 미적용)"))</f>
        <v/>
      </c>
      <c r="V97" s="33" t="str">
        <f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  <v/>
      </c>
      <c r="W97" s="33" t="str">
        <f>IF($A97="","",IF(O97="공실","공실",IF(O97="자가사용","자가사용",IF(L97="","만료일 없음",IF(L97&lt;$C$6,"만료 +"&amp;TEXT($C$6-L97,"0")&amp;"일",IF(L97-$C$6&lt;=30,"임박 "&amp;TEXT(L97-$C$6,"0")&amp;"일","유효"))))))</f>
        <v/>
      </c>
      <c r="X97" s="32" t="str">
        <f>IF(OR($A97="",O97&lt;&gt;"임대중"),"",IF(H97="",0,H97)+IF(I97="",0,I97))</f>
        <v/>
      </c>
      <c r="Y97" s="32" t="str">
        <f>IF(OR($A97="",O97&lt;&gt;"임대중",D97="",H97=""),"",ROUND((H97+IF(I97="",0,I97))/(D97/3.305785),0))</f>
        <v/>
      </c>
    </row>
    <row r="98" ht="18" customHeight="1" spans="1:25" x14ac:dyDescent="0.25">
      <c r="A98" s="25"/>
      <c r="B98" s="25"/>
      <c r="C98" s="26"/>
      <c r="D98" s="26"/>
      <c r="E98" s="27"/>
      <c r="F98" s="25"/>
      <c r="G98" s="28"/>
      <c r="H98" s="28"/>
      <c r="I98" s="28"/>
      <c r="J98" s="29"/>
      <c r="K98" s="29"/>
      <c r="L98" s="29"/>
      <c r="M98" s="25"/>
      <c r="N98" s="25"/>
      <c r="O98" s="25"/>
      <c r="P98" s="27"/>
      <c r="Q98" s="30" t="str">
        <f>IF(OR($A98="",C98=""),"",C98/3.305785)</f>
        <v/>
      </c>
      <c r="R98" s="30" t="str">
        <f>IF(OR($A98="",D98=""),"",D98/3.305785)</f>
        <v/>
      </c>
      <c r="S98" s="31" t="str">
        <f>IF(OR($A98="",C98="",D98=""),"",IF(C98&gt;0,D98/C98*100,""))</f>
        <v/>
      </c>
      <c r="T98" s="32" t="str">
        <f>IF(OR($A98="",O98&lt;&gt;"임대중",F98&lt;&gt;"상가",G98=""),"",G98+H98*100)</f>
        <v/>
      </c>
      <c r="U98" s="33" t="str">
        <f>IF(T98="","",IF(T98&lt;=$C$7,"○ 전면적용","× 초과 (5%상한 미적용)"))</f>
        <v/>
      </c>
      <c r="V98" s="33" t="str">
        <f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  <v/>
      </c>
      <c r="W98" s="33" t="str">
        <f>IF($A98="","",IF(O98="공실","공실",IF(O98="자가사용","자가사용",IF(L98="","만료일 없음",IF(L98&lt;$C$6,"만료 +"&amp;TEXT($C$6-L98,"0")&amp;"일",IF(L98-$C$6&lt;=30,"임박 "&amp;TEXT(L98-$C$6,"0")&amp;"일","유효"))))))</f>
        <v/>
      </c>
      <c r="X98" s="32" t="str">
        <f>IF(OR($A98="",O98&lt;&gt;"임대중"),"",IF(H98="",0,H98)+IF(I98="",0,I98))</f>
        <v/>
      </c>
      <c r="Y98" s="32" t="str">
        <f>IF(OR($A98="",O98&lt;&gt;"임대중",D98="",H98=""),"",ROUND((H98+IF(I98="",0,I98))/(D98/3.305785),0))</f>
        <v/>
      </c>
    </row>
    <row r="99" ht="18" customHeight="1" spans="1:25" x14ac:dyDescent="0.25">
      <c r="A99" s="25"/>
      <c r="B99" s="25"/>
      <c r="C99" s="26"/>
      <c r="D99" s="26"/>
      <c r="E99" s="27"/>
      <c r="F99" s="25"/>
      <c r="G99" s="28"/>
      <c r="H99" s="28"/>
      <c r="I99" s="28"/>
      <c r="J99" s="29"/>
      <c r="K99" s="29"/>
      <c r="L99" s="29"/>
      <c r="M99" s="25"/>
      <c r="N99" s="25"/>
      <c r="O99" s="25"/>
      <c r="P99" s="27"/>
      <c r="Q99" s="30" t="str">
        <f>IF(OR($A99="",C99=""),"",C99/3.305785)</f>
        <v/>
      </c>
      <c r="R99" s="30" t="str">
        <f>IF(OR($A99="",D99=""),"",D99/3.305785)</f>
        <v/>
      </c>
      <c r="S99" s="31" t="str">
        <f>IF(OR($A99="",C99="",D99=""),"",IF(C99&gt;0,D99/C99*100,""))</f>
        <v/>
      </c>
      <c r="T99" s="32" t="str">
        <f>IF(OR($A99="",O99&lt;&gt;"임대중",F99&lt;&gt;"상가",G99=""),"",G99+H99*100)</f>
        <v/>
      </c>
      <c r="U99" s="33" t="str">
        <f>IF(T99="","",IF(T99&lt;=$C$7,"○ 전면적용","× 초과 (5%상한 미적용)"))</f>
        <v/>
      </c>
      <c r="V99" s="33" t="str">
        <f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  <v/>
      </c>
      <c r="W99" s="33" t="str">
        <f>IF($A99="","",IF(O99="공실","공실",IF(O99="자가사용","자가사용",IF(L99="","만료일 없음",IF(L99&lt;$C$6,"만료 +"&amp;TEXT($C$6-L99,"0")&amp;"일",IF(L99-$C$6&lt;=30,"임박 "&amp;TEXT(L99-$C$6,"0")&amp;"일","유효"))))))</f>
        <v/>
      </c>
      <c r="X99" s="32" t="str">
        <f>IF(OR($A99="",O99&lt;&gt;"임대중"),"",IF(H99="",0,H99)+IF(I99="",0,I99))</f>
        <v/>
      </c>
      <c r="Y99" s="32" t="str">
        <f>IF(OR($A99="",O99&lt;&gt;"임대중",D99="",H99=""),"",ROUND((H99+IF(I99="",0,I99))/(D99/3.305785),0))</f>
        <v/>
      </c>
    </row>
    <row r="100" ht="18" customHeight="1" spans="1:25" x14ac:dyDescent="0.25">
      <c r="A100" s="25"/>
      <c r="B100" s="25"/>
      <c r="C100" s="26"/>
      <c r="D100" s="26"/>
      <c r="E100" s="27"/>
      <c r="F100" s="25"/>
      <c r="G100" s="28"/>
      <c r="H100" s="28"/>
      <c r="I100" s="28"/>
      <c r="J100" s="29"/>
      <c r="K100" s="29"/>
      <c r="L100" s="29"/>
      <c r="M100" s="25"/>
      <c r="N100" s="25"/>
      <c r="O100" s="25"/>
      <c r="P100" s="27"/>
      <c r="Q100" s="30" t="str">
        <f>IF(OR($A100="",C100=""),"",C100/3.305785)</f>
        <v/>
      </c>
      <c r="R100" s="30" t="str">
        <f>IF(OR($A100="",D100=""),"",D100/3.305785)</f>
        <v/>
      </c>
      <c r="S100" s="31" t="str">
        <f>IF(OR($A100="",C100="",D100=""),"",IF(C100&gt;0,D100/C100*100,""))</f>
        <v/>
      </c>
      <c r="T100" s="32" t="str">
        <f>IF(OR($A100="",O100&lt;&gt;"임대중",F100&lt;&gt;"상가",G100=""),"",G100+H100*100)</f>
        <v/>
      </c>
      <c r="U100" s="33" t="str">
        <f>IF(T100="","",IF(T100&lt;=$C$7,"○ 전면적용","× 초과 (5%상한 미적용)"))</f>
        <v/>
      </c>
      <c r="V100" s="33" t="str">
        <f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  <v/>
      </c>
      <c r="W100" s="33" t="str">
        <f>IF($A100="","",IF(O100="공실","공실",IF(O100="자가사용","자가사용",IF(L100="","만료일 없음",IF(L100&lt;$C$6,"만료 +"&amp;TEXT($C$6-L100,"0")&amp;"일",IF(L100-$C$6&lt;=30,"임박 "&amp;TEXT(L100-$C$6,"0")&amp;"일","유효"))))))</f>
        <v/>
      </c>
      <c r="X100" s="32" t="str">
        <f>IF(OR($A100="",O100&lt;&gt;"임대중"),"",IF(H100="",0,H100)+IF(I100="",0,I100))</f>
        <v/>
      </c>
      <c r="Y100" s="32" t="str">
        <f>IF(OR($A100="",O100&lt;&gt;"임대중",D100="",H100=""),"",ROUND((H100+IF(I100="",0,I100))/(D100/3.305785),0))</f>
        <v/>
      </c>
    </row>
    <row r="101" ht="18" customHeight="1" spans="1:25" x14ac:dyDescent="0.25">
      <c r="A101" s="25"/>
      <c r="B101" s="25"/>
      <c r="C101" s="26"/>
      <c r="D101" s="26"/>
      <c r="E101" s="27"/>
      <c r="F101" s="25"/>
      <c r="G101" s="28"/>
      <c r="H101" s="28"/>
      <c r="I101" s="28"/>
      <c r="J101" s="29"/>
      <c r="K101" s="29"/>
      <c r="L101" s="29"/>
      <c r="M101" s="25"/>
      <c r="N101" s="25"/>
      <c r="O101" s="25"/>
      <c r="P101" s="27"/>
      <c r="Q101" s="30" t="str">
        <f>IF(OR($A101="",C101=""),"",C101/3.305785)</f>
        <v/>
      </c>
      <c r="R101" s="30" t="str">
        <f>IF(OR($A101="",D101=""),"",D101/3.305785)</f>
        <v/>
      </c>
      <c r="S101" s="31" t="str">
        <f>IF(OR($A101="",C101="",D101=""),"",IF(C101&gt;0,D101/C101*100,""))</f>
        <v/>
      </c>
      <c r="T101" s="32" t="str">
        <f>IF(OR($A101="",O101&lt;&gt;"임대중",F101&lt;&gt;"상가",G101=""),"",G101+H101*100)</f>
        <v/>
      </c>
      <c r="U101" s="33" t="str">
        <f>IF(T101="","",IF(T101&lt;=$C$7,"○ 전면적용","× 초과 (5%상한 미적용)"))</f>
        <v/>
      </c>
      <c r="V101" s="33" t="str">
        <f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  <v/>
      </c>
      <c r="W101" s="33" t="str">
        <f>IF($A101="","",IF(O101="공실","공실",IF(O101="자가사용","자가사용",IF(L101="","만료일 없음",IF(L101&lt;$C$6,"만료 +"&amp;TEXT($C$6-L101,"0")&amp;"일",IF(L101-$C$6&lt;=30,"임박 "&amp;TEXT(L101-$C$6,"0")&amp;"일","유효"))))))</f>
        <v/>
      </c>
      <c r="X101" s="32" t="str">
        <f>IF(OR($A101="",O101&lt;&gt;"임대중"),"",IF(H101="",0,H101)+IF(I101="",0,I101))</f>
        <v/>
      </c>
      <c r="Y101" s="32" t="str">
        <f>IF(OR($A101="",O101&lt;&gt;"임대중",D101="",H101=""),"",ROUND((H101+IF(I101="",0,I101))/(D101/3.305785),0))</f>
        <v/>
      </c>
    </row>
    <row r="102" ht="18" customHeight="1" spans="1:25" x14ac:dyDescent="0.25">
      <c r="A102" s="25"/>
      <c r="B102" s="25"/>
      <c r="C102" s="26"/>
      <c r="D102" s="26"/>
      <c r="E102" s="27"/>
      <c r="F102" s="25"/>
      <c r="G102" s="28"/>
      <c r="H102" s="28"/>
      <c r="I102" s="28"/>
      <c r="J102" s="29"/>
      <c r="K102" s="29"/>
      <c r="L102" s="29"/>
      <c r="M102" s="25"/>
      <c r="N102" s="25"/>
      <c r="O102" s="25"/>
      <c r="P102" s="27"/>
      <c r="Q102" s="30" t="str">
        <f>IF(OR($A102="",C102=""),"",C102/3.305785)</f>
        <v/>
      </c>
      <c r="R102" s="30" t="str">
        <f>IF(OR($A102="",D102=""),"",D102/3.305785)</f>
        <v/>
      </c>
      <c r="S102" s="31" t="str">
        <f>IF(OR($A102="",C102="",D102=""),"",IF(C102&gt;0,D102/C102*100,""))</f>
        <v/>
      </c>
      <c r="T102" s="32" t="str">
        <f>IF(OR($A102="",O102&lt;&gt;"임대중",F102&lt;&gt;"상가",G102=""),"",G102+H102*100)</f>
        <v/>
      </c>
      <c r="U102" s="33" t="str">
        <f>IF(T102="","",IF(T102&lt;=$C$7,"○ 전면적용","× 초과 (5%상한 미적용)"))</f>
        <v/>
      </c>
      <c r="V102" s="33" t="str">
        <f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  <v/>
      </c>
      <c r="W102" s="33" t="str">
        <f>IF($A102="","",IF(O102="공실","공실",IF(O102="자가사용","자가사용",IF(L102="","만료일 없음",IF(L102&lt;$C$6,"만료 +"&amp;TEXT($C$6-L102,"0")&amp;"일",IF(L102-$C$6&lt;=30,"임박 "&amp;TEXT(L102-$C$6,"0")&amp;"일","유효"))))))</f>
        <v/>
      </c>
      <c r="X102" s="32" t="str">
        <f>IF(OR($A102="",O102&lt;&gt;"임대중"),"",IF(H102="",0,H102)+IF(I102="",0,I102))</f>
        <v/>
      </c>
      <c r="Y102" s="32" t="str">
        <f>IF(OR($A102="",O102&lt;&gt;"임대중",D102="",H102=""),"",ROUND((H102+IF(I102="",0,I102))/(D102/3.305785),0))</f>
        <v/>
      </c>
    </row>
    <row r="103" ht="18" customHeight="1" spans="1:25" x14ac:dyDescent="0.25">
      <c r="A103" s="25"/>
      <c r="B103" s="25"/>
      <c r="C103" s="26"/>
      <c r="D103" s="26"/>
      <c r="E103" s="27"/>
      <c r="F103" s="25"/>
      <c r="G103" s="28"/>
      <c r="H103" s="28"/>
      <c r="I103" s="28"/>
      <c r="J103" s="29"/>
      <c r="K103" s="29"/>
      <c r="L103" s="29"/>
      <c r="M103" s="25"/>
      <c r="N103" s="25"/>
      <c r="O103" s="25"/>
      <c r="P103" s="27"/>
      <c r="Q103" s="30" t="str">
        <f>IF(OR($A103="",C103=""),"",C103/3.305785)</f>
        <v/>
      </c>
      <c r="R103" s="30" t="str">
        <f>IF(OR($A103="",D103=""),"",D103/3.305785)</f>
        <v/>
      </c>
      <c r="S103" s="31" t="str">
        <f>IF(OR($A103="",C103="",D103=""),"",IF(C103&gt;0,D103/C103*100,""))</f>
        <v/>
      </c>
      <c r="T103" s="32" t="str">
        <f>IF(OR($A103="",O103&lt;&gt;"임대중",F103&lt;&gt;"상가",G103=""),"",G103+H103*100)</f>
        <v/>
      </c>
      <c r="U103" s="33" t="str">
        <f>IF(T103="","",IF(T103&lt;=$C$7,"○ 전면적용","× 초과 (5%상한 미적용)"))</f>
        <v/>
      </c>
      <c r="V103" s="33" t="str">
        <f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  <v/>
      </c>
      <c r="W103" s="33" t="str">
        <f>IF($A103="","",IF(O103="공실","공실",IF(O103="자가사용","자가사용",IF(L103="","만료일 없음",IF(L103&lt;$C$6,"만료 +"&amp;TEXT($C$6-L103,"0")&amp;"일",IF(L103-$C$6&lt;=30,"임박 "&amp;TEXT(L103-$C$6,"0")&amp;"일","유효"))))))</f>
        <v/>
      </c>
      <c r="X103" s="32" t="str">
        <f>IF(OR($A103="",O103&lt;&gt;"임대중"),"",IF(H103="",0,H103)+IF(I103="",0,I103))</f>
        <v/>
      </c>
      <c r="Y103" s="32" t="str">
        <f>IF(OR($A103="",O103&lt;&gt;"임대중",D103="",H103=""),"",ROUND((H103+IF(I103="",0,I103))/(D103/3.305785),0))</f>
        <v/>
      </c>
    </row>
    <row r="104" ht="18" customHeight="1" spans="1:25" x14ac:dyDescent="0.25">
      <c r="A104" s="25"/>
      <c r="B104" s="25"/>
      <c r="C104" s="26"/>
      <c r="D104" s="26"/>
      <c r="E104" s="27"/>
      <c r="F104" s="25"/>
      <c r="G104" s="28"/>
      <c r="H104" s="28"/>
      <c r="I104" s="28"/>
      <c r="J104" s="29"/>
      <c r="K104" s="29"/>
      <c r="L104" s="29"/>
      <c r="M104" s="25"/>
      <c r="N104" s="25"/>
      <c r="O104" s="25"/>
      <c r="P104" s="27"/>
      <c r="Q104" s="30" t="str">
        <f>IF(OR($A104="",C104=""),"",C104/3.305785)</f>
        <v/>
      </c>
      <c r="R104" s="30" t="str">
        <f>IF(OR($A104="",D104=""),"",D104/3.305785)</f>
        <v/>
      </c>
      <c r="S104" s="31" t="str">
        <f>IF(OR($A104="",C104="",D104=""),"",IF(C104&gt;0,D104/C104*100,""))</f>
        <v/>
      </c>
      <c r="T104" s="32" t="str">
        <f>IF(OR($A104="",O104&lt;&gt;"임대중",F104&lt;&gt;"상가",G104=""),"",G104+H104*100)</f>
        <v/>
      </c>
      <c r="U104" s="33" t="str">
        <f>IF(T104="","",IF(T104&lt;=$C$7,"○ 전면적용","× 초과 (5%상한 미적용)"))</f>
        <v/>
      </c>
      <c r="V104" s="33" t="str">
        <f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  <v/>
      </c>
      <c r="W104" s="33" t="str">
        <f>IF($A104="","",IF(O104="공실","공실",IF(O104="자가사용","자가사용",IF(L104="","만료일 없음",IF(L104&lt;$C$6,"만료 +"&amp;TEXT($C$6-L104,"0")&amp;"일",IF(L104-$C$6&lt;=30,"임박 "&amp;TEXT(L104-$C$6,"0")&amp;"일","유효"))))))</f>
        <v/>
      </c>
      <c r="X104" s="32" t="str">
        <f>IF(OR($A104="",O104&lt;&gt;"임대중"),"",IF(H104="",0,H104)+IF(I104="",0,I104))</f>
        <v/>
      </c>
      <c r="Y104" s="32" t="str">
        <f>IF(OR($A104="",O104&lt;&gt;"임대중",D104="",H104=""),"",ROUND((H104+IF(I104="",0,I104))/(D104/3.305785),0))</f>
        <v/>
      </c>
    </row>
    <row r="105" ht="18" customHeight="1" spans="1:25" x14ac:dyDescent="0.25">
      <c r="A105" s="25"/>
      <c r="B105" s="25"/>
      <c r="C105" s="26"/>
      <c r="D105" s="26"/>
      <c r="E105" s="27"/>
      <c r="F105" s="25"/>
      <c r="G105" s="28"/>
      <c r="H105" s="28"/>
      <c r="I105" s="28"/>
      <c r="J105" s="29"/>
      <c r="K105" s="29"/>
      <c r="L105" s="29"/>
      <c r="M105" s="25"/>
      <c r="N105" s="25"/>
      <c r="O105" s="25"/>
      <c r="P105" s="27"/>
      <c r="Q105" s="30" t="str">
        <f>IF(OR($A105="",C105=""),"",C105/3.305785)</f>
        <v/>
      </c>
      <c r="R105" s="30" t="str">
        <f>IF(OR($A105="",D105=""),"",D105/3.305785)</f>
        <v/>
      </c>
      <c r="S105" s="31" t="str">
        <f>IF(OR($A105="",C105="",D105=""),"",IF(C105&gt;0,D105/C105*100,""))</f>
        <v/>
      </c>
      <c r="T105" s="32" t="str">
        <f>IF(OR($A105="",O105&lt;&gt;"임대중",F105&lt;&gt;"상가",G105=""),"",G105+H105*100)</f>
        <v/>
      </c>
      <c r="U105" s="33" t="str">
        <f>IF(T105="","",IF(T105&lt;=$C$7,"○ 전면적용","× 초과 (5%상한 미적용)"))</f>
        <v/>
      </c>
      <c r="V105" s="33" t="str">
        <f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  <v/>
      </c>
      <c r="W105" s="33" t="str">
        <f>IF($A105="","",IF(O105="공실","공실",IF(O105="자가사용","자가사용",IF(L105="","만료일 없음",IF(L105&lt;$C$6,"만료 +"&amp;TEXT($C$6-L105,"0")&amp;"일",IF(L105-$C$6&lt;=30,"임박 "&amp;TEXT(L105-$C$6,"0")&amp;"일","유효"))))))</f>
        <v/>
      </c>
      <c r="X105" s="32" t="str">
        <f>IF(OR($A105="",O105&lt;&gt;"임대중"),"",IF(H105="",0,H105)+IF(I105="",0,I105))</f>
        <v/>
      </c>
      <c r="Y105" s="32" t="str">
        <f>IF(OR($A105="",O105&lt;&gt;"임대중",D105="",H105=""),"",ROUND((H105+IF(I105="",0,I105))/(D105/3.305785),0))</f>
        <v/>
      </c>
    </row>
    <row r="106" ht="18" customHeight="1" spans="1:25" x14ac:dyDescent="0.25">
      <c r="A106" s="25"/>
      <c r="B106" s="25"/>
      <c r="C106" s="26"/>
      <c r="D106" s="26"/>
      <c r="E106" s="27"/>
      <c r="F106" s="25"/>
      <c r="G106" s="28"/>
      <c r="H106" s="28"/>
      <c r="I106" s="28"/>
      <c r="J106" s="29"/>
      <c r="K106" s="29"/>
      <c r="L106" s="29"/>
      <c r="M106" s="25"/>
      <c r="N106" s="25"/>
      <c r="O106" s="25"/>
      <c r="P106" s="27"/>
      <c r="Q106" s="30" t="str">
        <f>IF(OR($A106="",C106=""),"",C106/3.305785)</f>
        <v/>
      </c>
      <c r="R106" s="30" t="str">
        <f>IF(OR($A106="",D106=""),"",D106/3.305785)</f>
        <v/>
      </c>
      <c r="S106" s="31" t="str">
        <f>IF(OR($A106="",C106="",D106=""),"",IF(C106&gt;0,D106/C106*100,""))</f>
        <v/>
      </c>
      <c r="T106" s="32" t="str">
        <f>IF(OR($A106="",O106&lt;&gt;"임대중",F106&lt;&gt;"상가",G106=""),"",G106+H106*100)</f>
        <v/>
      </c>
      <c r="U106" s="33" t="str">
        <f>IF(T106="","",IF(T106&lt;=$C$7,"○ 전면적용","× 초과 (5%상한 미적용)"))</f>
        <v/>
      </c>
      <c r="V106" s="33" t="str">
        <f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  <v/>
      </c>
      <c r="W106" s="33" t="str">
        <f>IF($A106="","",IF(O106="공실","공실",IF(O106="자가사용","자가사용",IF(L106="","만료일 없음",IF(L106&lt;$C$6,"만료 +"&amp;TEXT($C$6-L106,"0")&amp;"일",IF(L106-$C$6&lt;=30,"임박 "&amp;TEXT(L106-$C$6,"0")&amp;"일","유효"))))))</f>
        <v/>
      </c>
      <c r="X106" s="32" t="str">
        <f>IF(OR($A106="",O106&lt;&gt;"임대중"),"",IF(H106="",0,H106)+IF(I106="",0,I106))</f>
        <v/>
      </c>
      <c r="Y106" s="32" t="str">
        <f>IF(OR($A106="",O106&lt;&gt;"임대중",D106="",H106=""),"",ROUND((H106+IF(I106="",0,I106))/(D106/3.305785),0))</f>
        <v/>
      </c>
    </row>
    <row r="107" ht="18" customHeight="1" spans="1:25" x14ac:dyDescent="0.25">
      <c r="A107" s="25"/>
      <c r="B107" s="25"/>
      <c r="C107" s="26"/>
      <c r="D107" s="26"/>
      <c r="E107" s="27"/>
      <c r="F107" s="25"/>
      <c r="G107" s="28"/>
      <c r="H107" s="28"/>
      <c r="I107" s="28"/>
      <c r="J107" s="29"/>
      <c r="K107" s="29"/>
      <c r="L107" s="29"/>
      <c r="M107" s="25"/>
      <c r="N107" s="25"/>
      <c r="O107" s="25"/>
      <c r="P107" s="27"/>
      <c r="Q107" s="30" t="str">
        <f>IF(OR($A107="",C107=""),"",C107/3.305785)</f>
        <v/>
      </c>
      <c r="R107" s="30" t="str">
        <f>IF(OR($A107="",D107=""),"",D107/3.305785)</f>
        <v/>
      </c>
      <c r="S107" s="31" t="str">
        <f>IF(OR($A107="",C107="",D107=""),"",IF(C107&gt;0,D107/C107*100,""))</f>
        <v/>
      </c>
      <c r="T107" s="32" t="str">
        <f>IF(OR($A107="",O107&lt;&gt;"임대중",F107&lt;&gt;"상가",G107=""),"",G107+H107*100)</f>
        <v/>
      </c>
      <c r="U107" s="33" t="str">
        <f>IF(T107="","",IF(T107&lt;=$C$7,"○ 전면적용","× 초과 (5%상한 미적용)"))</f>
        <v/>
      </c>
      <c r="V107" s="33" t="str">
        <f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  <v/>
      </c>
      <c r="W107" s="33" t="str">
        <f>IF($A107="","",IF(O107="공실","공실",IF(O107="자가사용","자가사용",IF(L107="","만료일 없음",IF(L107&lt;$C$6,"만료 +"&amp;TEXT($C$6-L107,"0")&amp;"일",IF(L107-$C$6&lt;=30,"임박 "&amp;TEXT(L107-$C$6,"0")&amp;"일","유효"))))))</f>
        <v/>
      </c>
      <c r="X107" s="32" t="str">
        <f>IF(OR($A107="",O107&lt;&gt;"임대중"),"",IF(H107="",0,H107)+IF(I107="",0,I107))</f>
        <v/>
      </c>
      <c r="Y107" s="32" t="str">
        <f>IF(OR($A107="",O107&lt;&gt;"임대중",D107="",H107=""),"",ROUND((H107+IF(I107="",0,I107))/(D107/3.305785),0))</f>
        <v/>
      </c>
    </row>
    <row r="108" ht="18" customHeight="1" spans="1:25" x14ac:dyDescent="0.25">
      <c r="A108" s="25"/>
      <c r="B108" s="25"/>
      <c r="C108" s="26"/>
      <c r="D108" s="26"/>
      <c r="E108" s="27"/>
      <c r="F108" s="25"/>
      <c r="G108" s="28"/>
      <c r="H108" s="28"/>
      <c r="I108" s="28"/>
      <c r="J108" s="29"/>
      <c r="K108" s="29"/>
      <c r="L108" s="29"/>
      <c r="M108" s="25"/>
      <c r="N108" s="25"/>
      <c r="O108" s="25"/>
      <c r="P108" s="27"/>
      <c r="Q108" s="30" t="str">
        <f>IF(OR($A108="",C108=""),"",C108/3.305785)</f>
        <v/>
      </c>
      <c r="R108" s="30" t="str">
        <f>IF(OR($A108="",D108=""),"",D108/3.305785)</f>
        <v/>
      </c>
      <c r="S108" s="31" t="str">
        <f>IF(OR($A108="",C108="",D108=""),"",IF(C108&gt;0,D108/C108*100,""))</f>
        <v/>
      </c>
      <c r="T108" s="32" t="str">
        <f>IF(OR($A108="",O108&lt;&gt;"임대중",F108&lt;&gt;"상가",G108=""),"",G108+H108*100)</f>
        <v/>
      </c>
      <c r="U108" s="33" t="str">
        <f>IF(T108="","",IF(T108&lt;=$C$7,"○ 전면적용","× 초과 (5%상한 미적용)"))</f>
        <v/>
      </c>
      <c r="V108" s="33" t="str">
        <f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  <v/>
      </c>
      <c r="W108" s="33" t="str">
        <f>IF($A108="","",IF(O108="공실","공실",IF(O108="자가사용","자가사용",IF(L108="","만료일 없음",IF(L108&lt;$C$6,"만료 +"&amp;TEXT($C$6-L108,"0")&amp;"일",IF(L108-$C$6&lt;=30,"임박 "&amp;TEXT(L108-$C$6,"0")&amp;"일","유효"))))))</f>
        <v/>
      </c>
      <c r="X108" s="32" t="str">
        <f>IF(OR($A108="",O108&lt;&gt;"임대중"),"",IF(H108="",0,H108)+IF(I108="",0,I108))</f>
        <v/>
      </c>
      <c r="Y108" s="32" t="str">
        <f>IF(OR($A108="",O108&lt;&gt;"임대중",D108="",H108=""),"",ROUND((H108+IF(I108="",0,I108))/(D108/3.305785),0))</f>
        <v/>
      </c>
    </row>
    <row r="109" ht="18" customHeight="1" spans="1:25" x14ac:dyDescent="0.25">
      <c r="A109" s="25"/>
      <c r="B109" s="25"/>
      <c r="C109" s="26"/>
      <c r="D109" s="26"/>
      <c r="E109" s="27"/>
      <c r="F109" s="25"/>
      <c r="G109" s="28"/>
      <c r="H109" s="28"/>
      <c r="I109" s="28"/>
      <c r="J109" s="29"/>
      <c r="K109" s="29"/>
      <c r="L109" s="29"/>
      <c r="M109" s="25"/>
      <c r="N109" s="25"/>
      <c r="O109" s="25"/>
      <c r="P109" s="27"/>
      <c r="Q109" s="30" t="str">
        <f>IF(OR($A109="",C109=""),"",C109/3.305785)</f>
        <v/>
      </c>
      <c r="R109" s="30" t="str">
        <f>IF(OR($A109="",D109=""),"",D109/3.305785)</f>
        <v/>
      </c>
      <c r="S109" s="31" t="str">
        <f>IF(OR($A109="",C109="",D109=""),"",IF(C109&gt;0,D109/C109*100,""))</f>
        <v/>
      </c>
      <c r="T109" s="32" t="str">
        <f>IF(OR($A109="",O109&lt;&gt;"임대중",F109&lt;&gt;"상가",G109=""),"",G109+H109*100)</f>
        <v/>
      </c>
      <c r="U109" s="33" t="str">
        <f>IF(T109="","",IF(T109&lt;=$C$7,"○ 전면적용","× 초과 (5%상한 미적용)"))</f>
        <v/>
      </c>
      <c r="V109" s="33" t="str">
        <f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  <v/>
      </c>
      <c r="W109" s="33" t="str">
        <f>IF($A109="","",IF(O109="공실","공실",IF(O109="자가사용","자가사용",IF(L109="","만료일 없음",IF(L109&lt;$C$6,"만료 +"&amp;TEXT($C$6-L109,"0")&amp;"일",IF(L109-$C$6&lt;=30,"임박 "&amp;TEXT(L109-$C$6,"0")&amp;"일","유효"))))))</f>
        <v/>
      </c>
      <c r="X109" s="32" t="str">
        <f>IF(OR($A109="",O109&lt;&gt;"임대중"),"",IF(H109="",0,H109)+IF(I109="",0,I109))</f>
        <v/>
      </c>
      <c r="Y109" s="32" t="str">
        <f>IF(OR($A109="",O109&lt;&gt;"임대중",D109="",H109=""),"",ROUND((H109+IF(I109="",0,I109))/(D109/3.305785),0))</f>
        <v/>
      </c>
    </row>
    <row r="110" ht="18" customHeight="1" spans="1:25" x14ac:dyDescent="0.25">
      <c r="A110" s="25"/>
      <c r="B110" s="25"/>
      <c r="C110" s="26"/>
      <c r="D110" s="26"/>
      <c r="E110" s="27"/>
      <c r="F110" s="25"/>
      <c r="G110" s="28"/>
      <c r="H110" s="28"/>
      <c r="I110" s="28"/>
      <c r="J110" s="29"/>
      <c r="K110" s="29"/>
      <c r="L110" s="29"/>
      <c r="M110" s="25"/>
      <c r="N110" s="25"/>
      <c r="O110" s="25"/>
      <c r="P110" s="27"/>
      <c r="Q110" s="30" t="str">
        <f>IF(OR($A110="",C110=""),"",C110/3.305785)</f>
        <v/>
      </c>
      <c r="R110" s="30" t="str">
        <f>IF(OR($A110="",D110=""),"",D110/3.305785)</f>
        <v/>
      </c>
      <c r="S110" s="31" t="str">
        <f>IF(OR($A110="",C110="",D110=""),"",IF(C110&gt;0,D110/C110*100,""))</f>
        <v/>
      </c>
      <c r="T110" s="32" t="str">
        <f>IF(OR($A110="",O110&lt;&gt;"임대중",F110&lt;&gt;"상가",G110=""),"",G110+H110*100)</f>
        <v/>
      </c>
      <c r="U110" s="33" t="str">
        <f>IF(T110="","",IF(T110&lt;=$C$7,"○ 전면적용","× 초과 (5%상한 미적용)"))</f>
        <v/>
      </c>
      <c r="V110" s="33" t="str">
        <f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  <v/>
      </c>
      <c r="W110" s="33" t="str">
        <f>IF($A110="","",IF(O110="공실","공실",IF(O110="자가사용","자가사용",IF(L110="","만료일 없음",IF(L110&lt;$C$6,"만료 +"&amp;TEXT($C$6-L110,"0")&amp;"일",IF(L110-$C$6&lt;=30,"임박 "&amp;TEXT(L110-$C$6,"0")&amp;"일","유효"))))))</f>
        <v/>
      </c>
      <c r="X110" s="32" t="str">
        <f>IF(OR($A110="",O110&lt;&gt;"임대중"),"",IF(H110="",0,H110)+IF(I110="",0,I110))</f>
        <v/>
      </c>
      <c r="Y110" s="32" t="str">
        <f>IF(OR($A110="",O110&lt;&gt;"임대중",D110="",H110=""),"",ROUND((H110+IF(I110="",0,I110))/(D110/3.305785),0))</f>
        <v/>
      </c>
    </row>
    <row r="111" ht="18" customHeight="1" spans="1:25" x14ac:dyDescent="0.25">
      <c r="A111" s="25"/>
      <c r="B111" s="25"/>
      <c r="C111" s="26"/>
      <c r="D111" s="26"/>
      <c r="E111" s="27"/>
      <c r="F111" s="25"/>
      <c r="G111" s="28"/>
      <c r="H111" s="28"/>
      <c r="I111" s="28"/>
      <c r="J111" s="29"/>
      <c r="K111" s="29"/>
      <c r="L111" s="29"/>
      <c r="M111" s="25"/>
      <c r="N111" s="25"/>
      <c r="O111" s="25"/>
      <c r="P111" s="27"/>
      <c r="Q111" s="30" t="str">
        <f>IF(OR($A111="",C111=""),"",C111/3.305785)</f>
        <v/>
      </c>
      <c r="R111" s="30" t="str">
        <f>IF(OR($A111="",D111=""),"",D111/3.305785)</f>
        <v/>
      </c>
      <c r="S111" s="31" t="str">
        <f>IF(OR($A111="",C111="",D111=""),"",IF(C111&gt;0,D111/C111*100,""))</f>
        <v/>
      </c>
      <c r="T111" s="32" t="str">
        <f>IF(OR($A111="",O111&lt;&gt;"임대중",F111&lt;&gt;"상가",G111=""),"",G111+H111*100)</f>
        <v/>
      </c>
      <c r="U111" s="33" t="str">
        <f>IF(T111="","",IF(T111&lt;=$C$7,"○ 전면적용","× 초과 (5%상한 미적용)"))</f>
        <v/>
      </c>
      <c r="V111" s="33" t="str">
        <f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  <v/>
      </c>
      <c r="W111" s="33" t="str">
        <f>IF($A111="","",IF(O111="공실","공실",IF(O111="자가사용","자가사용",IF(L111="","만료일 없음",IF(L111&lt;$C$6,"만료 +"&amp;TEXT($C$6-L111,"0")&amp;"일",IF(L111-$C$6&lt;=30,"임박 "&amp;TEXT(L111-$C$6,"0")&amp;"일","유효"))))))</f>
        <v/>
      </c>
      <c r="X111" s="32" t="str">
        <f>IF(OR($A111="",O111&lt;&gt;"임대중"),"",IF(H111="",0,H111)+IF(I111="",0,I111))</f>
        <v/>
      </c>
      <c r="Y111" s="32" t="str">
        <f>IF(OR($A111="",O111&lt;&gt;"임대중",D111="",H111=""),"",ROUND((H111+IF(I111="",0,I111))/(D111/3.305785),0))</f>
        <v/>
      </c>
    </row>
    <row r="112" ht="18" customHeight="1" spans="1:25" x14ac:dyDescent="0.25">
      <c r="A112" s="25"/>
      <c r="B112" s="25"/>
      <c r="C112" s="26"/>
      <c r="D112" s="26"/>
      <c r="E112" s="27"/>
      <c r="F112" s="25"/>
      <c r="G112" s="28"/>
      <c r="H112" s="28"/>
      <c r="I112" s="28"/>
      <c r="J112" s="29"/>
      <c r="K112" s="29"/>
      <c r="L112" s="29"/>
      <c r="M112" s="25"/>
      <c r="N112" s="25"/>
      <c r="O112" s="25"/>
      <c r="P112" s="27"/>
      <c r="Q112" s="30" t="str">
        <f>IF(OR($A112="",C112=""),"",C112/3.305785)</f>
        <v/>
      </c>
      <c r="R112" s="30" t="str">
        <f>IF(OR($A112="",D112=""),"",D112/3.305785)</f>
        <v/>
      </c>
      <c r="S112" s="31" t="str">
        <f>IF(OR($A112="",C112="",D112=""),"",IF(C112&gt;0,D112/C112*100,""))</f>
        <v/>
      </c>
      <c r="T112" s="32" t="str">
        <f>IF(OR($A112="",O112&lt;&gt;"임대중",F112&lt;&gt;"상가",G112=""),"",G112+H112*100)</f>
        <v/>
      </c>
      <c r="U112" s="33" t="str">
        <f>IF(T112="","",IF(T112&lt;=$C$7,"○ 전면적용","× 초과 (5%상한 미적용)"))</f>
        <v/>
      </c>
      <c r="V112" s="33" t="str">
        <f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  <v/>
      </c>
      <c r="W112" s="33" t="str">
        <f>IF($A112="","",IF(O112="공실","공실",IF(O112="자가사용","자가사용",IF(L112="","만료일 없음",IF(L112&lt;$C$6,"만료 +"&amp;TEXT($C$6-L112,"0")&amp;"일",IF(L112-$C$6&lt;=30,"임박 "&amp;TEXT(L112-$C$6,"0")&amp;"일","유효"))))))</f>
        <v/>
      </c>
      <c r="X112" s="32" t="str">
        <f>IF(OR($A112="",O112&lt;&gt;"임대중"),"",IF(H112="",0,H112)+IF(I112="",0,I112))</f>
        <v/>
      </c>
      <c r="Y112" s="32" t="str">
        <f>IF(OR($A112="",O112&lt;&gt;"임대중",D112="",H112=""),"",ROUND((H112+IF(I112="",0,I112))/(D112/3.305785),0))</f>
        <v/>
      </c>
    </row>
  </sheetData>
  <mergeCells count="17">
    <mergeCell ref="A1:H1"/>
    <mergeCell ref="A2:O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</mergeCells>
  <conditionalFormatting sqref="S13:S112">
    <cfRule type="expression" dxfId="0" priority="1">
      <formula>AND(ISNUMBER($S13),$S13&gt;100)</formula>
    </cfRule>
    <cfRule type="expression" dxfId="1" priority="2">
      <formula>AND(ISNUMBER($S13),$S13&lt;30)</formula>
    </cfRule>
  </conditionalFormatting>
  <conditionalFormatting sqref="D13:D112">
    <cfRule type="expression" dxfId="2" priority="3">
      <formula>AND(ISNUMBER($C13),ISNUMBER($D13),$D13&gt;$C13)</formula>
    </cfRule>
  </conditionalFormatting>
  <conditionalFormatting sqref="W13:W112">
    <cfRule type="expression" dxfId="3" priority="4">
      <formula>LEFT($W13,2)="만료"</formula>
    </cfRule>
    <cfRule type="expression" dxfId="4" priority="5">
      <formula>LEFT($W13,2)="임박"</formula>
    </cfRule>
  </conditionalFormatting>
  <conditionalFormatting sqref="E13:E112">
    <cfRule type="expression" dxfId="5" priority="6">
      <formula>AND($A13&lt;&gt;"",$O13="임대중",E13="")</formula>
    </cfRule>
  </conditionalFormatting>
  <conditionalFormatting sqref="G13:G112">
    <cfRule type="expression" dxfId="6" priority="6">
      <formula>AND($A13&lt;&gt;"",$O13="임대중",G13="")</formula>
    </cfRule>
  </conditionalFormatting>
  <conditionalFormatting sqref="H13:H112">
    <cfRule type="expression" dxfId="7" priority="6">
      <formula>AND($A13&lt;&gt;"",$O13="임대중",H13="")</formula>
    </cfRule>
  </conditionalFormatting>
  <conditionalFormatting sqref="L13:L112">
    <cfRule type="expression" dxfId="8" priority="6">
      <formula>AND($A13&lt;&gt;"",$O13="임대중",L13="")</formula>
    </cfRule>
  </conditionalFormatting>
  <dataValidations count="111"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3:C112">
      <formula1>0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0">
      <formula1>AND(ISNUMBER(D100),D100&gt;=0,OR(C100="",D100&lt;=C100))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1">
      <formula1>AND(ISNUMBER(D101),D101&gt;=0,OR(C101="",D101&lt;=C101))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2">
      <formula1>AND(ISNUMBER(D102),D102&gt;=0,OR(C102="",D102&lt;=C102))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3">
      <formula1>AND(ISNUMBER(D103),D103&gt;=0,OR(C103="",D103&lt;=C103))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4">
      <formula1>AND(ISNUMBER(D104),D104&gt;=0,OR(C104="",D104&lt;=C104))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5">
      <formula1>AND(ISNUMBER(D105),D105&gt;=0,OR(C105="",D105&lt;=C105))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6">
      <formula1>AND(ISNUMBER(D106),D106&gt;=0,OR(C106="",D106&lt;=C106))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7">
      <formula1>AND(ISNUMBER(D107),D107&gt;=0,OR(C107="",D107&lt;=C107))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8">
      <formula1>AND(ISNUMBER(D108),D108&gt;=0,OR(C108="",D108&lt;=C108))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9">
      <formula1>AND(ISNUMBER(D109),D109&gt;=0,OR(C109="",D109&lt;=C109))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0">
      <formula1>AND(ISNUMBER(D110),D110&gt;=0,OR(C110="",D110&lt;=C110))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1">
      <formula1>AND(ISNUMBER(D111),D111&gt;=0,OR(C111="",D111&lt;=C111))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2">
      <formula1>AND(ISNUMBER(D112),D112&gt;=0,OR(C112="",D112&lt;=C112))</formula1>
    </dataValidation>
    <dataValidation type="custom" allowBlank="1" showInputMessage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3">
      <formula1>AND(ISNUMBER(D13),D13&gt;=0,OR(C13="",D13&lt;=C13))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4">
      <formula1>AND(ISNUMBER(D14),D14&gt;=0,OR(C14="",D14&lt;=C14))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5">
      <formula1>AND(ISNUMBER(D15),D15&gt;=0,OR(C15="",D15&lt;=C15))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6">
      <formula1>AND(ISNUMBER(D16),D16&gt;=0,OR(C16="",D16&lt;=C16))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7">
      <formula1>AND(ISNUMBER(D17),D17&gt;=0,OR(C17="",D17&lt;=C17))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8">
      <formula1>AND(ISNUMBER(D18),D18&gt;=0,OR(C18="",D18&lt;=C18))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9">
      <formula1>AND(ISNUMBER(D19),D19&gt;=0,OR(C19="",D19&lt;=C19))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0">
      <formula1>AND(ISNUMBER(D20),D20&gt;=0,OR(C20="",D20&lt;=C20))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1">
      <formula1>AND(ISNUMBER(D21),D21&gt;=0,OR(C21="",D21&lt;=C21))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2">
      <formula1>AND(ISNUMBER(D22),D22&gt;=0,OR(C22="",D22&lt;=C22))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3">
      <formula1>AND(ISNUMBER(D23),D23&gt;=0,OR(C23="",D23&lt;=C23))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4">
      <formula1>AND(ISNUMBER(D24),D24&gt;=0,OR(C24="",D24&lt;=C24))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5">
      <formula1>AND(ISNUMBER(D25),D25&gt;=0,OR(C25="",D25&lt;=C25))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6">
      <formula1>AND(ISNUMBER(D26),D26&gt;=0,OR(C26="",D26&lt;=C26))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7">
      <formula1>AND(ISNUMBER(D27),D27&gt;=0,OR(C27="",D27&lt;=C27))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8">
      <formula1>AND(ISNUMBER(D28),D28&gt;=0,OR(C28="",D28&lt;=C28))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9">
      <formula1>AND(ISNUMBER(D29),D29&gt;=0,OR(C29="",D29&lt;=C29))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0">
      <formula1>AND(ISNUMBER(D30),D30&gt;=0,OR(C30="",D30&lt;=C30))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1">
      <formula1>AND(ISNUMBER(D31),D31&gt;=0,OR(C31="",D31&lt;=C31))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2">
      <formula1>AND(ISNUMBER(D32),D32&gt;=0,OR(C32="",D32&lt;=C32))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3">
      <formula1>AND(ISNUMBER(D33),D33&gt;=0,OR(C33="",D33&lt;=C33))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4">
      <formula1>AND(ISNUMBER(D34),D34&gt;=0,OR(C34="",D34&lt;=C34))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5">
      <formula1>AND(ISNUMBER(D35),D35&gt;=0,OR(C35="",D35&lt;=C35))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6">
      <formula1>AND(ISNUMBER(D36),D36&gt;=0,OR(C36="",D36&lt;=C36))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7">
      <formula1>AND(ISNUMBER(D37),D37&gt;=0,OR(C37="",D37&lt;=C37))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8">
      <formula1>AND(ISNUMBER(D38),D38&gt;=0,OR(C38="",D38&lt;=C38))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9">
      <formula1>AND(ISNUMBER(D39),D39&gt;=0,OR(C39="",D39&lt;=C39))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0">
      <formula1>AND(ISNUMBER(D40),D40&gt;=0,OR(C40="",D40&lt;=C40))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1">
      <formula1>AND(ISNUMBER(D41),D41&gt;=0,OR(C41="",D41&lt;=C41))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2">
      <formula1>AND(ISNUMBER(D42),D42&gt;=0,OR(C42="",D42&lt;=C42))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3">
      <formula1>AND(ISNUMBER(D43),D43&gt;=0,OR(C43="",D43&lt;=C43))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4">
      <formula1>AND(ISNUMBER(D44),D44&gt;=0,OR(C44="",D44&lt;=C44))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5">
      <formula1>AND(ISNUMBER(D45),D45&gt;=0,OR(C45="",D45&lt;=C45))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6">
      <formula1>AND(ISNUMBER(D46),D46&gt;=0,OR(C46="",D46&lt;=C46))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7">
      <formula1>AND(ISNUMBER(D47),D47&gt;=0,OR(C47="",D47&lt;=C47))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8">
      <formula1>AND(ISNUMBER(D48),D48&gt;=0,OR(C48="",D48&lt;=C48))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9">
      <formula1>AND(ISNUMBER(D49),D49&gt;=0,OR(C49="",D49&lt;=C49))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0">
      <formula1>AND(ISNUMBER(D50),D50&gt;=0,OR(C50="",D50&lt;=C50))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1">
      <formula1>AND(ISNUMBER(D51),D51&gt;=0,OR(C51="",D51&lt;=C51))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2">
      <formula1>AND(ISNUMBER(D52),D52&gt;=0,OR(C52="",D52&lt;=C52))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3">
      <formula1>AND(ISNUMBER(D53),D53&gt;=0,OR(C53="",D53&lt;=C53))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4">
      <formula1>AND(ISNUMBER(D54),D54&gt;=0,OR(C54="",D54&lt;=C54))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5">
      <formula1>AND(ISNUMBER(D55),D55&gt;=0,OR(C55="",D55&lt;=C55))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6">
      <formula1>AND(ISNUMBER(D56),D56&gt;=0,OR(C56="",D56&lt;=C56))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7">
      <formula1>AND(ISNUMBER(D57),D57&gt;=0,OR(C57="",D57&lt;=C57))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8">
      <formula1>AND(ISNUMBER(D58),D58&gt;=0,OR(C58="",D58&lt;=C58))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9">
      <formula1>AND(ISNUMBER(D59),D59&gt;=0,OR(C59="",D59&lt;=C59))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0">
      <formula1>AND(ISNUMBER(D60),D60&gt;=0,OR(C60="",D60&lt;=C60))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1">
      <formula1>AND(ISNUMBER(D61),D61&gt;=0,OR(C61="",D61&lt;=C61))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2">
      <formula1>AND(ISNUMBER(D62),D62&gt;=0,OR(C62="",D62&lt;=C62))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3">
      <formula1>AND(ISNUMBER(D63),D63&gt;=0,OR(C63="",D63&lt;=C63))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4">
      <formula1>AND(ISNUMBER(D64),D64&gt;=0,OR(C64="",D64&lt;=C64))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5">
      <formula1>AND(ISNUMBER(D65),D65&gt;=0,OR(C65="",D65&lt;=C65))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6">
      <formula1>AND(ISNUMBER(D66),D66&gt;=0,OR(C66="",D66&lt;=C66))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7">
      <formula1>AND(ISNUMBER(D67),D67&gt;=0,OR(C67="",D67&lt;=C67))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8">
      <formula1>AND(ISNUMBER(D68),D68&gt;=0,OR(C68="",D68&lt;=C68))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9">
      <formula1>AND(ISNUMBER(D69),D69&gt;=0,OR(C69="",D69&lt;=C69))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0">
      <formula1>AND(ISNUMBER(D70),D70&gt;=0,OR(C70="",D70&lt;=C70))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1">
      <formula1>AND(ISNUMBER(D71),D71&gt;=0,OR(C71="",D71&lt;=C71))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2">
      <formula1>AND(ISNUMBER(D72),D72&gt;=0,OR(C72="",D72&lt;=C72))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3">
      <formula1>AND(ISNUMBER(D73),D73&gt;=0,OR(C73="",D73&lt;=C73))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4">
      <formula1>AND(ISNUMBER(D74),D74&gt;=0,OR(C74="",D74&lt;=C74))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5">
      <formula1>AND(ISNUMBER(D75),D75&gt;=0,OR(C75="",D75&lt;=C75))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6">
      <formula1>AND(ISNUMBER(D76),D76&gt;=0,OR(C76="",D76&lt;=C76))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7">
      <formula1>AND(ISNUMBER(D77),D77&gt;=0,OR(C77="",D77&lt;=C77))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8">
      <formula1>AND(ISNUMBER(D78),D78&gt;=0,OR(C78="",D78&lt;=C78))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9">
      <formula1>AND(ISNUMBER(D79),D79&gt;=0,OR(C79="",D79&lt;=C79))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0">
      <formula1>AND(ISNUMBER(D80),D80&gt;=0,OR(C80="",D80&lt;=C80))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1">
      <formula1>AND(ISNUMBER(D81),D81&gt;=0,OR(C81="",D81&lt;=C81))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2">
      <formula1>AND(ISNUMBER(D82),D82&gt;=0,OR(C82="",D82&lt;=C82))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3">
      <formula1>AND(ISNUMBER(D83),D83&gt;=0,OR(C83="",D83&lt;=C83))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4">
      <formula1>AND(ISNUMBER(D84),D84&gt;=0,OR(C84="",D84&lt;=C84))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5">
      <formula1>AND(ISNUMBER(D85),D85&gt;=0,OR(C85="",D85&lt;=C85))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6">
      <formula1>AND(ISNUMBER(D86),D86&gt;=0,OR(C86="",D86&lt;=C86))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7">
      <formula1>AND(ISNUMBER(D87),D87&gt;=0,OR(C87="",D87&lt;=C87))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8">
      <formula1>AND(ISNUMBER(D88),D88&gt;=0,OR(C88="",D88&lt;=C88))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9">
      <formula1>AND(ISNUMBER(D89),D89&gt;=0,OR(C89="",D89&lt;=C89))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0">
      <formula1>AND(ISNUMBER(D90),D90&gt;=0,OR(C90="",D90&lt;=C90))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1">
      <formula1>AND(ISNUMBER(D91),D91&gt;=0,OR(C91="",D91&lt;=C91))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2">
      <formula1>AND(ISNUMBER(D92),D92&gt;=0,OR(C92="",D92&lt;=C92))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3">
      <formula1>AND(ISNUMBER(D93),D93&gt;=0,OR(C93="",D93&lt;=C93))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4">
      <formula1>AND(ISNUMBER(D94),D94&gt;=0,OR(C94="",D94&lt;=C94))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5">
      <formula1>AND(ISNUMBER(D95),D95&gt;=0,OR(C95="",D95&lt;=C95))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6">
      <formula1>AND(ISNUMBER(D96),D96&gt;=0,OR(C96="",D96&lt;=C96))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7">
      <formula1>AND(ISNUMBER(D97),D97&gt;=0,OR(C97="",D97&lt;=C97))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8">
      <formula1>AND(ISNUMBER(D98),D98&gt;=0,OR(C98="",D98&lt;=C98))</formula1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9">
      <formula1>AND(ISNUMBER(D99),D99&gt;=0,OR(C99="",D99&lt;=C99))</formula1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3:F112">
      <formula1>"상가,주택,미확인"</formula1>
    </dataValidation>
    <dataValidation type="decimal" operator="greaterThanOrEqual" allowBlank="1" showErrorMessage="1" errorStyle="warning" errorTitle="금액 단위" error="원 단위 숫자만 입력하세요 (5,000만원 → 50000000)." sqref="G13:G112">
      <formula1>0</formula1>
    </dataValidation>
    <dataValidation type="decimal" operator="greaterThanOrEqual" allowBlank="1" showErrorMessage="1" errorStyle="warning" errorTitle="금액 단위" error="원 단위 숫자만 입력하세요 (5,000만원 → 50000000)." sqref="H13:H112">
      <formula1>0</formula1>
    </dataValidation>
    <dataValidation type="decimal" operator="greaterThanOrEqual" allowBlank="1" showErrorMessage="1" errorStyle="warning" errorTitle="금액 단위" error="원 단위 숫자만 입력하세요 (5,000만원 → 50000000)." sqref="I13:I112">
      <formula1>0</formula1>
    </dataValidation>
    <dataValidation type="date" operator="greaterThan" allowBlank="1" showErrorMessage="1" errorStyle="warning" errorTitle="날짜 형식" error="YYYY-MM-DD 형식의 날짜를 입력하세요." sqref="J13:J112">
      <formula1>25569.00038048611</formula1>
    </dataValidation>
    <dataValidation type="date" operator="greaterThan" allowBlank="1" showErrorMessage="1" errorStyle="warning" errorTitle="날짜 형식" error="YYYY-MM-DD 형식의 날짜를 입력하세요." sqref="K13:K112">
      <formula1>25569.00038048611</formula1>
    </dataValidation>
    <dataValidation type="date" operator="greaterThan" allowBlank="1" showErrorMessage="1" errorStyle="warning" errorTitle="날짜 형식" error="YYYY-MM-DD 형식의 날짜를 입력하세요." sqref="L13:L112">
      <formula1>25569.00038048611</formula1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3:M112">
      <formula1>"있음,없음,모름"</formula1>
    </dataValidation>
    <dataValidation type="list" allowBlank="1" promptTitle="대항력 요건" showErrorMessage="1" errorStyle="warning" errorTitle="대항력 요건" error="사업자등록 / 주민등록 / 미확인 중에서 선택하세요." sqref="N13:N112">
      <formula1>"사업자등록,주민등록,미확인"</formula1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3:O112">
      <formula1>"임대중,공실,자가사용"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30" customWidth="1"/>
    <col min="3" max="3" width="34" customWidth="1"/>
    <col min="4" max="4" width="70" customWidth="1"/>
  </cols>
  <sheetData>
    <row r="1" ht="24" customHeight="1" spans="1:1" x14ac:dyDescent="0.25">
      <c r="A1" s="1" t="s">
        <v>135</v>
      </c>
    </row>
    <row r="3" spans="1:4" x14ac:dyDescent="0.25">
      <c r="A3" s="34" t="s">
        <v>136</v>
      </c>
      <c r="B3" s="34" t="s">
        <v>137</v>
      </c>
      <c r="C3" s="34" t="s">
        <v>138</v>
      </c>
      <c r="D3" s="34" t="s">
        <v>139</v>
      </c>
    </row>
    <row r="4" spans="1:4" x14ac:dyDescent="0.25">
      <c r="A4" s="35" t="s">
        <v>140</v>
      </c>
      <c r="B4" s="36" t="s">
        <v>141</v>
      </c>
      <c r="C4" s="37">
        <f>TEXT(SUM('렌트롤'!$H$13:$H$112),"#,##0")&amp;"원"</f>
      </c>
      <c r="D4" s="38" t="s">
        <v>142</v>
      </c>
    </row>
    <row r="5" spans="1:4" x14ac:dyDescent="0.25">
      <c r="A5" s="35" t="s">
        <v>143</v>
      </c>
      <c r="B5" s="36" t="s">
        <v>144</v>
      </c>
      <c r="C5" s="37">
        <f>TEXT(SUM('렌트롤'!$C$13:$C$112),"#,##0.00")&amp;"㎡ / "&amp;TEXT(SUM('렌트롤'!$Q$13:$Q$112),"#,##0.0")&amp;"평"</f>
      </c>
      <c r="D5" s="38" t="s">
        <v>145</v>
      </c>
    </row>
    <row r="6" spans="1:4" x14ac:dyDescent="0.25">
      <c r="A6" s="35" t="s">
        <v>146</v>
      </c>
      <c r="B6" s="36" t="s">
        <v>147</v>
      </c>
      <c r="C6" s="37">
        <f>TEXT(SUM('렌트롤'!$D$13:$D$112),"#,##0.00")&amp;"㎡ / "&amp;TEXT(SUM('렌트롤'!$R$13:$R$112),"#,##0.0")&amp;"평"</f>
      </c>
      <c r="D6" s="38" t="s">
        <v>148</v>
      </c>
    </row>
    <row r="7" spans="1:4" x14ac:dyDescent="0.25">
      <c r="A7" s="35" t="s">
        <v>149</v>
      </c>
      <c r="B7" s="36" t="s">
        <v>150</v>
      </c>
      <c r="C7" s="37">
        <f>IF('렌트롤'!$S$10="","산출 불가 (임대·전용면적 쌍 없음)",TEXT('렌트롤'!$S$10,"0.0")&amp;"%")</f>
      </c>
      <c r="D7" s="38" t="s">
        <v>151</v>
      </c>
    </row>
    <row r="8" spans="1:4" x14ac:dyDescent="0.25">
      <c r="A8" s="35" t="s">
        <v>152</v>
      </c>
      <c r="B8" s="36" t="s">
        <v>153</v>
      </c>
      <c r="C8" s="37">
        <f>COUNTIFS('렌트롤'!$A$13:$A$112,"&lt;&gt;",'렌트롤'!$C$13:$C$112,"")&amp;"건"</f>
      </c>
      <c r="D8" s="38" t="s">
        <v>154</v>
      </c>
    </row>
    <row r="9" spans="1:4" x14ac:dyDescent="0.25">
      <c r="A9" s="35" t="s">
        <v>155</v>
      </c>
      <c r="B9" s="36" t="s">
        <v>156</v>
      </c>
      <c r="C9" s="37">
        <f>COUNTIFS('렌트롤'!$A$13:$A$112,"&lt;&gt;",'렌트롤'!$D$13:$D$112,"")&amp;"건"</f>
      </c>
      <c r="D9" s="38" t="s">
        <v>157</v>
      </c>
    </row>
    <row r="10" spans="1:4" x14ac:dyDescent="0.25">
      <c r="A10" s="35" t="s">
        <v>158</v>
      </c>
      <c r="B10" s="36" t="s">
        <v>159</v>
      </c>
      <c r="C10" s="37">
        <f>COUNTIF('렌트롤'!$S$13:$S$112,"&gt;100")&amp;"건 100% 초과 / "&amp;COUNTIF('렌트롤'!$S$13:$S$112,"&lt;30")&amp;"건 30% 미만"</f>
      </c>
      <c r="D10" s="38" t="s">
        <v>160</v>
      </c>
    </row>
    <row r="11" spans="1:4" x14ac:dyDescent="0.25">
      <c r="A11" s="35" t="s">
        <v>161</v>
      </c>
      <c r="B11" s="36" t="s">
        <v>162</v>
      </c>
      <c r="C11" s="37">
        <f>COUNTIF('렌트롤'!$W$13:$W$112,"만료*")&amp;" / "&amp;COUNTIF('렌트롤'!$O$13:$O$112,"임대중")&amp;"건"</f>
      </c>
      <c r="D11" s="38" t="s">
        <v>163</v>
      </c>
    </row>
    <row r="12" spans="1:4" x14ac:dyDescent="0.25">
      <c r="A12" s="35" t="s">
        <v>164</v>
      </c>
      <c r="B12" s="36" t="s">
        <v>165</v>
      </c>
      <c r="C12" s="37">
        <f>IF(COUNTIF('렌트롤'!$W$13:$W$112,"만료*")&gt;COUNTIF('렌트롤'!$O$13:$O$112,"임대중")/2,"발행 차단","통과")</f>
      </c>
      <c r="D12" s="38" t="s">
        <v>166</v>
      </c>
    </row>
    <row r="13" spans="1:4" x14ac:dyDescent="0.25">
      <c r="A13" s="35" t="s">
        <v>167</v>
      </c>
      <c r="B13" s="36" t="s">
        <v>168</v>
      </c>
      <c r="C13" s="37">
        <f>COUNTIF('렌트롤'!$W$13:$W$112,"임박*")&amp;"건"</f>
      </c>
      <c r="D13" s="38" t="s">
        <v>169</v>
      </c>
    </row>
    <row r="14" spans="1:4" x14ac:dyDescent="0.25">
      <c r="A14" s="35" t="s">
        <v>170</v>
      </c>
      <c r="B14" s="36" t="s">
        <v>171</v>
      </c>
      <c r="C14" s="37">
        <f>COUNTIF('렌트롤'!$V$13:$V$112,"확인 필요")&amp;"건"</f>
      </c>
      <c r="D14" s="38" t="s">
        <v>172</v>
      </c>
    </row>
    <row r="15" spans="1:4" x14ac:dyDescent="0.25">
      <c r="A15" s="35" t="s">
        <v>173</v>
      </c>
      <c r="B15" s="36" t="s">
        <v>174</v>
      </c>
      <c r="C15" s="37">
        <f>COUNTIF('렌트롤'!$N$13:$N$112,"미확인")&amp;"건"</f>
      </c>
      <c r="D15" s="38" t="s">
        <v>175</v>
      </c>
    </row>
    <row r="16" spans="1:4" x14ac:dyDescent="0.25">
      <c r="A16" s="35" t="s">
        <v>176</v>
      </c>
      <c r="B16" s="36" t="s">
        <v>177</v>
      </c>
      <c r="C16" s="37">
        <f>COUNTIFS('렌트롤'!$A$13:$A$112,"&lt;&gt;",'렌트롤'!$E$13:$E$112,"")&amp;"건"</f>
      </c>
      <c r="D16" s="38" t="s">
        <v>178</v>
      </c>
    </row>
    <row r="17" spans="1:4" x14ac:dyDescent="0.25">
      <c r="A17" s="35" t="s">
        <v>179</v>
      </c>
      <c r="B17" s="36" t="s">
        <v>180</v>
      </c>
      <c r="C17" s="37">
        <f>COUNTIF('렌트롤'!$U$13:$U$112,"×*")&amp;"건"</f>
      </c>
      <c r="D17" s="38" t="s">
        <v>181</v>
      </c>
    </row>
    <row r="18" spans="1:4" x14ac:dyDescent="0.25">
      <c r="A18" s="35" t="s">
        <v>182</v>
      </c>
      <c r="B18" s="36" t="s">
        <v>93</v>
      </c>
      <c r="C18" s="37">
        <f>IF('렌트롤'!$C$5="","미기재",TEXT('렌트롤'!$C$5,"yyyy-mm-dd"))</f>
      </c>
      <c r="D18" s="38" t="s">
        <v>183</v>
      </c>
    </row>
    <row r="19" spans="1:4" x14ac:dyDescent="0.25">
      <c r="A19" s="35" t="s">
        <v>184</v>
      </c>
      <c r="B19" s="36" t="s">
        <v>185</v>
      </c>
      <c r="C19" s="37">
        <f>COUNTIF('렌트롤'!$O$13:$O$112,"공실")&amp;"건 / "&amp;COUNTIF('렌트롤'!$O$13:$O$112,"자가사용")&amp;"건"</f>
      </c>
      <c r="D19" s="38" t="s">
        <v>186</v>
      </c>
    </row>
    <row r="21" ht="22" customHeight="1" spans="1:1" x14ac:dyDescent="0.25">
      <c r="A21" s="39" t="s">
        <v>187</v>
      </c>
    </row>
    <row r="22" spans="1:4" x14ac:dyDescent="0.25">
      <c r="A22" s="34" t="s">
        <v>188</v>
      </c>
      <c r="B22" s="34" t="s">
        <v>189</v>
      </c>
      <c r="C22" s="34" t="s">
        <v>190</v>
      </c>
      <c r="D22" s="34" t="s">
        <v>191</v>
      </c>
    </row>
    <row r="23" ht="28" customHeight="1" spans="1:4" x14ac:dyDescent="0.25">
      <c r="A23" s="40" t="s">
        <v>23</v>
      </c>
      <c r="B23" s="38" t="s">
        <v>192</v>
      </c>
      <c r="C23" s="41">
        <f>IF(AND(COUNTA('렌트롤'!$A$13:$A$112)&gt;0,COUNTA('렌트롤'!$O$13:$O$112)=COUNTA('렌트롤'!$A$13:$A$112),COUNTIFS('렌트롤'!$O$13:$O$112,"임대중",'렌트롤'!$E$13:$E$112,"&lt;&gt;")=COUNTIF('렌트롤'!$O$13:$O$112,"임대중"),COUNTIFS('렌트롤'!$O$13:$O$112,"임대중",'렌트롤'!$H$13:$H$112,"&lt;&gt;")=COUNTIF('렌트롤'!$O$13:$O$112,"임대중"),COUNTIFS('렌트롤'!$O$13:$O$112,"임대중",'렌트롤'!$L$13:$L$112,"&lt;&gt;")=COUNTIF('렌트롤'!$O$13:$O$112,"임대중")),"충족","미달")</f>
      </c>
      <c r="D23" s="38" t="s">
        <v>193</v>
      </c>
    </row>
    <row r="24" ht="28" customHeight="1" spans="1:4" x14ac:dyDescent="0.25">
      <c r="A24" s="40" t="s">
        <v>25</v>
      </c>
      <c r="B24" s="38" t="s">
        <v>194</v>
      </c>
      <c r="C24" s="41">
        <f>IF(AND(C23="충족",COUNTA('렌트롤'!$C$13:$C$112)=COUNTA('렌트롤'!$A$13:$A$112),COUNTA('렌트롤'!$F$13:$F$112)=COUNTA('렌트롤'!$A$13:$A$112),COUNTIFS('렌트롤'!$O$13:$O$112,"임대중",'렌트롤'!$I$13:$I$112,"&lt;&gt;")=COUNTIF('렌트롤'!$O$13:$O$112,"임대중")),"충족","미달")</f>
      </c>
      <c r="D24" s="38" t="s">
        <v>195</v>
      </c>
    </row>
    <row r="25" ht="28" customHeight="1" spans="1:4" x14ac:dyDescent="0.25">
      <c r="A25" s="40" t="s">
        <v>27</v>
      </c>
      <c r="B25" s="38" t="s">
        <v>196</v>
      </c>
      <c r="C25" s="41">
        <f>IF(AND(C24="충족",COUNTIFS('렌트롤'!$O$13:$O$112,"임대중",'렌트롤'!$J$13:$J$112,"&lt;&gt;")=COUNTIF('렌트롤'!$O$13:$O$112,"임대중"),COUNTIFS('렌트롤'!$O$13:$O$112,"임대중",'렌트롤'!$N$13:$N$112,"&lt;&gt;")=COUNTIF('렌트롤'!$O$13:$O$112,"임대중"),COUNTIFS('렌트롤'!$O$13:$O$112,"임대중",'렌트롤'!$N$13:$N$112,"미확인")=0),"충족","미달")</f>
      </c>
      <c r="D25" s="38" t="s">
        <v>197</v>
      </c>
    </row>
    <row r="26" ht="28" customHeight="1" spans="1:4" x14ac:dyDescent="0.25">
      <c r="A26" s="40" t="s">
        <v>198</v>
      </c>
      <c r="B26" s="38" t="s">
        <v>199</v>
      </c>
      <c r="C26" s="41">
        <f>IF(AND(COUNTA('렌트롤'!$A$13:$A$112)&gt;0,COUNTA('렌트롤'!$C$13:$C$112)=COUNTA('렌트롤'!$A$13:$A$112),COUNTA('렌트롤'!$D$13:$D$112)=COUNTA('렌트롤'!$A$13:$A$112),COUNTIF('렌트롤'!$S$13:$S$112,"&gt;100")=0),"충족","미달")</f>
      </c>
      <c r="D26" s="38" t="s">
        <v>200</v>
      </c>
    </row>
    <row r="28" spans="2:3" x14ac:dyDescent="0.25">
      <c r="B28" s="42" t="s">
        <v>201</v>
      </c>
      <c r="C28" s="43">
        <f>IF(C25="충족","R3 표준형",IF(C24="충족","R2 필요형",IF(C23="충족","R1 최소형","R0 미달")))</f>
      </c>
    </row>
    <row r="29" ht="32" customHeight="1" spans="2:4" x14ac:dyDescent="0.25">
      <c r="B29" s="42" t="s">
        <v>202</v>
      </c>
      <c r="C29" s="44">
        <f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</c>
      <c r="D29" s="44"/>
    </row>
    <row r="31" spans="2:2" x14ac:dyDescent="0.25">
      <c r="B31" s="45" t="s">
        <v>203</v>
      </c>
    </row>
  </sheetData>
  <mergeCells count="1">
    <mergeCell ref="C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5" max="5" width="24" customWidth="1"/>
    <col min="6" max="6" width="62" customWidth="1"/>
    <col min="7" max="7" width="26" customWidth="1"/>
    <col min="8" max="8" width="28" customWidth="1"/>
    <col min="9" max="9" width="52" customWidth="1"/>
  </cols>
  <sheetData>
    <row r="1" ht="24" customHeight="1" spans="1:1" x14ac:dyDescent="0.25">
      <c r="A1" s="1" t="s">
        <v>204</v>
      </c>
    </row>
    <row r="2" spans="1:1" x14ac:dyDescent="0.25">
      <c r="A2" s="7" t="s">
        <v>205</v>
      </c>
    </row>
    <row r="3" ht="24" customHeight="1" spans="1:9" x14ac:dyDescent="0.25">
      <c r="A3" s="46" t="s">
        <v>206</v>
      </c>
      <c r="B3" s="46" t="s">
        <v>207</v>
      </c>
      <c r="C3" s="46" t="s">
        <v>208</v>
      </c>
      <c r="D3" s="46" t="s">
        <v>209</v>
      </c>
      <c r="E3" s="46" t="s">
        <v>210</v>
      </c>
      <c r="F3" s="46" t="s">
        <v>211</v>
      </c>
      <c r="G3" s="46" t="s">
        <v>212</v>
      </c>
      <c r="H3" s="46" t="s">
        <v>213</v>
      </c>
      <c r="I3" s="46" t="s">
        <v>214</v>
      </c>
    </row>
    <row r="4" ht="30" customHeight="1" spans="1:9" x14ac:dyDescent="0.25">
      <c r="A4" s="47" t="s">
        <v>215</v>
      </c>
      <c r="B4" s="48" t="s">
        <v>45</v>
      </c>
      <c r="C4" s="49" t="s">
        <v>101</v>
      </c>
      <c r="D4" s="47" t="s">
        <v>216</v>
      </c>
      <c r="E4" s="50" t="s">
        <v>217</v>
      </c>
      <c r="F4" s="50" t="s">
        <v>218</v>
      </c>
      <c r="G4" s="50" t="s">
        <v>219</v>
      </c>
      <c r="H4" s="50" t="s">
        <v>220</v>
      </c>
      <c r="I4" s="50" t="s">
        <v>221</v>
      </c>
    </row>
    <row r="5" ht="65" customHeight="1" spans="1:9" x14ac:dyDescent="0.25">
      <c r="A5" s="47" t="s">
        <v>222</v>
      </c>
      <c r="B5" s="48" t="s">
        <v>107</v>
      </c>
      <c r="C5" s="51" t="s">
        <v>102</v>
      </c>
      <c r="D5" s="47" t="s">
        <v>223</v>
      </c>
      <c r="E5" s="50" t="s">
        <v>217</v>
      </c>
      <c r="F5" s="50" t="s">
        <v>224</v>
      </c>
      <c r="G5" s="50" t="s">
        <v>225</v>
      </c>
      <c r="H5" s="50" t="s">
        <v>226</v>
      </c>
      <c r="I5" s="50" t="s">
        <v>227</v>
      </c>
    </row>
    <row r="6" ht="39" customHeight="1" spans="1:9" x14ac:dyDescent="0.25">
      <c r="A6" s="47" t="s">
        <v>228</v>
      </c>
      <c r="B6" s="48" t="s">
        <v>108</v>
      </c>
      <c r="C6" s="51" t="s">
        <v>102</v>
      </c>
      <c r="D6" s="47" t="s">
        <v>229</v>
      </c>
      <c r="E6" s="50" t="s">
        <v>230</v>
      </c>
      <c r="F6" s="50" t="s">
        <v>231</v>
      </c>
      <c r="G6" s="50" t="s">
        <v>232</v>
      </c>
      <c r="H6" s="50" t="s">
        <v>233</v>
      </c>
      <c r="I6" s="50" t="s">
        <v>234</v>
      </c>
    </row>
    <row r="7" ht="52" customHeight="1" spans="1:9" x14ac:dyDescent="0.25">
      <c r="A7" s="47" t="s">
        <v>235</v>
      </c>
      <c r="B7" s="48" t="s">
        <v>109</v>
      </c>
      <c r="C7" s="51" t="s">
        <v>103</v>
      </c>
      <c r="D7" s="47" t="s">
        <v>229</v>
      </c>
      <c r="E7" s="50" t="s">
        <v>230</v>
      </c>
      <c r="F7" s="50" t="s">
        <v>236</v>
      </c>
      <c r="G7" s="50" t="s">
        <v>237</v>
      </c>
      <c r="H7" s="50" t="s">
        <v>238</v>
      </c>
      <c r="I7" s="50" t="s">
        <v>239</v>
      </c>
    </row>
    <row r="8" ht="30" customHeight="1" spans="1:9" x14ac:dyDescent="0.25">
      <c r="A8" s="47" t="s">
        <v>240</v>
      </c>
      <c r="B8" s="48" t="s">
        <v>47</v>
      </c>
      <c r="C8" s="49" t="s">
        <v>101</v>
      </c>
      <c r="D8" s="47" t="s">
        <v>216</v>
      </c>
      <c r="E8" s="50" t="s">
        <v>217</v>
      </c>
      <c r="F8" s="50" t="s">
        <v>241</v>
      </c>
      <c r="G8" s="50" t="s">
        <v>242</v>
      </c>
      <c r="H8" s="50" t="s">
        <v>243</v>
      </c>
      <c r="I8" s="50" t="s">
        <v>244</v>
      </c>
    </row>
    <row r="9" ht="30" customHeight="1" spans="1:9" x14ac:dyDescent="0.25">
      <c r="A9" s="47" t="s">
        <v>245</v>
      </c>
      <c r="B9" s="48" t="s">
        <v>110</v>
      </c>
      <c r="C9" s="51" t="s">
        <v>102</v>
      </c>
      <c r="D9" s="47" t="s">
        <v>229</v>
      </c>
      <c r="E9" s="50" t="s">
        <v>246</v>
      </c>
      <c r="F9" s="50" t="s">
        <v>247</v>
      </c>
      <c r="G9" s="50" t="s">
        <v>248</v>
      </c>
      <c r="H9" s="50" t="s">
        <v>249</v>
      </c>
      <c r="I9" s="50" t="s">
        <v>250</v>
      </c>
    </row>
    <row r="10" ht="30" customHeight="1" spans="1:9" x14ac:dyDescent="0.25">
      <c r="A10" s="47" t="s">
        <v>251</v>
      </c>
      <c r="B10" s="48" t="s">
        <v>111</v>
      </c>
      <c r="C10" s="49" t="s">
        <v>101</v>
      </c>
      <c r="D10" s="47" t="s">
        <v>216</v>
      </c>
      <c r="E10" s="50" t="s">
        <v>252</v>
      </c>
      <c r="F10" s="50" t="s">
        <v>253</v>
      </c>
      <c r="G10" s="50" t="s">
        <v>254</v>
      </c>
      <c r="H10" s="50" t="s">
        <v>255</v>
      </c>
      <c r="I10" s="50" t="s">
        <v>256</v>
      </c>
    </row>
    <row r="11" ht="30" customHeight="1" spans="1:9" x14ac:dyDescent="0.25">
      <c r="A11" s="47" t="s">
        <v>257</v>
      </c>
      <c r="B11" s="48" t="s">
        <v>112</v>
      </c>
      <c r="C11" s="49" t="s">
        <v>101</v>
      </c>
      <c r="D11" s="47" t="s">
        <v>216</v>
      </c>
      <c r="E11" s="50" t="s">
        <v>252</v>
      </c>
      <c r="F11" s="50" t="s">
        <v>258</v>
      </c>
      <c r="G11" s="50" t="s">
        <v>259</v>
      </c>
      <c r="H11" s="50" t="s">
        <v>260</v>
      </c>
      <c r="I11" s="50" t="s">
        <v>261</v>
      </c>
    </row>
    <row r="12" ht="30" customHeight="1" spans="1:9" x14ac:dyDescent="0.25">
      <c r="A12" s="47" t="s">
        <v>262</v>
      </c>
      <c r="B12" s="48" t="s">
        <v>113</v>
      </c>
      <c r="C12" s="51" t="s">
        <v>102</v>
      </c>
      <c r="D12" s="47" t="s">
        <v>229</v>
      </c>
      <c r="E12" s="50" t="s">
        <v>252</v>
      </c>
      <c r="F12" s="50" t="s">
        <v>263</v>
      </c>
      <c r="G12" s="50" t="s">
        <v>264</v>
      </c>
      <c r="H12" s="50" t="s">
        <v>265</v>
      </c>
      <c r="I12" s="50" t="s">
        <v>266</v>
      </c>
    </row>
    <row r="13" ht="30" customHeight="1" spans="1:9" x14ac:dyDescent="0.25">
      <c r="A13" s="47" t="s">
        <v>267</v>
      </c>
      <c r="B13" s="48" t="s">
        <v>114</v>
      </c>
      <c r="C13" s="52" t="s">
        <v>104</v>
      </c>
      <c r="D13" s="47" t="s">
        <v>223</v>
      </c>
      <c r="E13" s="50" t="s">
        <v>268</v>
      </c>
      <c r="F13" s="50" t="s">
        <v>269</v>
      </c>
      <c r="G13" s="50" t="s">
        <v>270</v>
      </c>
      <c r="H13" s="50" t="s">
        <v>271</v>
      </c>
      <c r="I13" s="50" t="s">
        <v>272</v>
      </c>
    </row>
    <row r="14" ht="30" customHeight="1" spans="1:9" x14ac:dyDescent="0.25">
      <c r="A14" s="47" t="s">
        <v>273</v>
      </c>
      <c r="B14" s="48" t="s">
        <v>115</v>
      </c>
      <c r="C14" s="51" t="s">
        <v>102</v>
      </c>
      <c r="D14" s="47" t="s">
        <v>229</v>
      </c>
      <c r="E14" s="50" t="s">
        <v>268</v>
      </c>
      <c r="F14" s="50" t="s">
        <v>274</v>
      </c>
      <c r="G14" s="50" t="s">
        <v>275</v>
      </c>
      <c r="H14" s="50" t="s">
        <v>276</v>
      </c>
      <c r="I14" s="50" t="s">
        <v>277</v>
      </c>
    </row>
    <row r="15" ht="30" customHeight="1" spans="1:9" x14ac:dyDescent="0.25">
      <c r="A15" s="47" t="s">
        <v>278</v>
      </c>
      <c r="B15" s="48" t="s">
        <v>53</v>
      </c>
      <c r="C15" s="49" t="s">
        <v>101</v>
      </c>
      <c r="D15" s="47" t="s">
        <v>216</v>
      </c>
      <c r="E15" s="50" t="s">
        <v>268</v>
      </c>
      <c r="F15" s="50" t="s">
        <v>279</v>
      </c>
      <c r="G15" s="50" t="s">
        <v>280</v>
      </c>
      <c r="H15" s="50" t="s">
        <v>281</v>
      </c>
      <c r="I15" s="50" t="s">
        <v>282</v>
      </c>
    </row>
    <row r="16" ht="39" customHeight="1" spans="1:9" x14ac:dyDescent="0.25">
      <c r="A16" s="47" t="s">
        <v>283</v>
      </c>
      <c r="B16" s="48" t="s">
        <v>116</v>
      </c>
      <c r="C16" s="52" t="s">
        <v>104</v>
      </c>
      <c r="D16" s="47" t="s">
        <v>223</v>
      </c>
      <c r="E16" s="50" t="s">
        <v>284</v>
      </c>
      <c r="F16" s="50" t="s">
        <v>285</v>
      </c>
      <c r="G16" s="50" t="s">
        <v>286</v>
      </c>
      <c r="H16" s="50" t="s">
        <v>287</v>
      </c>
      <c r="I16" s="50" t="s">
        <v>288</v>
      </c>
    </row>
    <row r="17" ht="30" customHeight="1" spans="1:9" x14ac:dyDescent="0.25">
      <c r="A17" s="47" t="s">
        <v>289</v>
      </c>
      <c r="B17" s="48" t="s">
        <v>117</v>
      </c>
      <c r="C17" s="52" t="s">
        <v>104</v>
      </c>
      <c r="D17" s="47" t="s">
        <v>229</v>
      </c>
      <c r="E17" s="50" t="s">
        <v>290</v>
      </c>
      <c r="F17" s="50" t="s">
        <v>291</v>
      </c>
      <c r="G17" s="50" t="s">
        <v>292</v>
      </c>
      <c r="H17" s="50" t="s">
        <v>293</v>
      </c>
      <c r="I17" s="50" t="s">
        <v>294</v>
      </c>
    </row>
    <row r="18" ht="30" customHeight="1" spans="1:9" x14ac:dyDescent="0.25">
      <c r="A18" s="47" t="s">
        <v>295</v>
      </c>
      <c r="B18" s="48" t="s">
        <v>49</v>
      </c>
      <c r="C18" s="49" t="s">
        <v>101</v>
      </c>
      <c r="D18" s="47" t="s">
        <v>216</v>
      </c>
      <c r="E18" s="50" t="s">
        <v>296</v>
      </c>
      <c r="F18" s="50" t="s">
        <v>297</v>
      </c>
      <c r="G18" s="50" t="s">
        <v>298</v>
      </c>
      <c r="H18" s="50" t="s">
        <v>299</v>
      </c>
      <c r="I18" s="50" t="s">
        <v>300</v>
      </c>
    </row>
    <row r="19" ht="30" customHeight="1" spans="1:9" x14ac:dyDescent="0.25">
      <c r="A19" s="47" t="s">
        <v>301</v>
      </c>
      <c r="B19" s="48" t="s">
        <v>118</v>
      </c>
      <c r="C19" s="53" t="s">
        <v>105</v>
      </c>
      <c r="D19" s="47" t="s">
        <v>302</v>
      </c>
      <c r="E19" s="50" t="s">
        <v>217</v>
      </c>
      <c r="F19" s="50" t="s">
        <v>303</v>
      </c>
      <c r="G19" s="50" t="s">
        <v>304</v>
      </c>
      <c r="H19" s="50" t="s">
        <v>304</v>
      </c>
      <c r="I19" s="50" t="s">
        <v>305</v>
      </c>
    </row>
    <row r="20" ht="30" customHeight="1" spans="1:9" x14ac:dyDescent="0.25">
      <c r="A20" s="54" t="s">
        <v>306</v>
      </c>
      <c r="B20" s="55" t="s">
        <v>119</v>
      </c>
      <c r="C20" s="53" t="s">
        <v>106</v>
      </c>
      <c r="D20" s="54" t="s">
        <v>106</v>
      </c>
      <c r="E20" s="56" t="s">
        <v>307</v>
      </c>
      <c r="F20" s="56" t="s">
        <v>308</v>
      </c>
      <c r="G20" s="56" t="s">
        <v>309</v>
      </c>
      <c r="H20" s="56" t="s">
        <v>310</v>
      </c>
      <c r="I20" s="56" t="s">
        <v>105</v>
      </c>
    </row>
    <row r="21" ht="30" customHeight="1" spans="1:9" x14ac:dyDescent="0.25">
      <c r="A21" s="54" t="s">
        <v>311</v>
      </c>
      <c r="B21" s="55" t="s">
        <v>120</v>
      </c>
      <c r="C21" s="53" t="s">
        <v>106</v>
      </c>
      <c r="D21" s="54" t="s">
        <v>106</v>
      </c>
      <c r="E21" s="56" t="s">
        <v>307</v>
      </c>
      <c r="F21" s="56" t="s">
        <v>312</v>
      </c>
      <c r="G21" s="56" t="s">
        <v>309</v>
      </c>
      <c r="H21" s="56" t="s">
        <v>310</v>
      </c>
      <c r="I21" s="56" t="s">
        <v>105</v>
      </c>
    </row>
    <row r="22" ht="39" customHeight="1" spans="1:9" x14ac:dyDescent="0.25">
      <c r="A22" s="54" t="s">
        <v>313</v>
      </c>
      <c r="B22" s="55" t="s">
        <v>121</v>
      </c>
      <c r="C22" s="53" t="s">
        <v>106</v>
      </c>
      <c r="D22" s="54" t="s">
        <v>106</v>
      </c>
      <c r="E22" s="56" t="s">
        <v>314</v>
      </c>
      <c r="F22" s="56" t="s">
        <v>315</v>
      </c>
      <c r="G22" s="56" t="s">
        <v>316</v>
      </c>
      <c r="H22" s="56" t="s">
        <v>317</v>
      </c>
      <c r="I22" s="56" t="s">
        <v>105</v>
      </c>
    </row>
    <row r="23" ht="30" customHeight="1" spans="1:9" x14ac:dyDescent="0.25">
      <c r="A23" s="54" t="s">
        <v>318</v>
      </c>
      <c r="B23" s="55" t="s">
        <v>122</v>
      </c>
      <c r="C23" s="53" t="s">
        <v>106</v>
      </c>
      <c r="D23" s="54" t="s">
        <v>106</v>
      </c>
      <c r="E23" s="56" t="s">
        <v>319</v>
      </c>
      <c r="F23" s="56" t="s">
        <v>320</v>
      </c>
      <c r="G23" s="56" t="s">
        <v>309</v>
      </c>
      <c r="H23" s="56" t="s">
        <v>321</v>
      </c>
      <c r="I23" s="56" t="s">
        <v>105</v>
      </c>
    </row>
    <row r="24" ht="39" customHeight="1" spans="1:9" x14ac:dyDescent="0.25">
      <c r="A24" s="54" t="s">
        <v>322</v>
      </c>
      <c r="B24" s="55" t="s">
        <v>123</v>
      </c>
      <c r="C24" s="53" t="s">
        <v>106</v>
      </c>
      <c r="D24" s="54" t="s">
        <v>106</v>
      </c>
      <c r="E24" s="56" t="s">
        <v>323</v>
      </c>
      <c r="F24" s="56" t="s">
        <v>324</v>
      </c>
      <c r="G24" s="56" t="s">
        <v>309</v>
      </c>
      <c r="H24" s="56" t="s">
        <v>325</v>
      </c>
      <c r="I24" s="56" t="s">
        <v>105</v>
      </c>
    </row>
    <row r="25" ht="39" customHeight="1" spans="1:9" x14ac:dyDescent="0.25">
      <c r="A25" s="54" t="s">
        <v>326</v>
      </c>
      <c r="B25" s="55" t="s">
        <v>124</v>
      </c>
      <c r="C25" s="53" t="s">
        <v>106</v>
      </c>
      <c r="D25" s="54" t="s">
        <v>106</v>
      </c>
      <c r="E25" s="56" t="s">
        <v>327</v>
      </c>
      <c r="F25" s="56" t="s">
        <v>328</v>
      </c>
      <c r="G25" s="56" t="s">
        <v>309</v>
      </c>
      <c r="H25" s="56" t="s">
        <v>329</v>
      </c>
      <c r="I25" s="56" t="s">
        <v>105</v>
      </c>
    </row>
    <row r="26" ht="30" customHeight="1" spans="1:9" x14ac:dyDescent="0.25">
      <c r="A26" s="54" t="s">
        <v>330</v>
      </c>
      <c r="B26" s="55" t="s">
        <v>125</v>
      </c>
      <c r="C26" s="53" t="s">
        <v>106</v>
      </c>
      <c r="D26" s="54" t="s">
        <v>106</v>
      </c>
      <c r="E26" s="56" t="s">
        <v>331</v>
      </c>
      <c r="F26" s="56" t="s">
        <v>332</v>
      </c>
      <c r="G26" s="56" t="s">
        <v>309</v>
      </c>
      <c r="H26" s="56" t="s">
        <v>333</v>
      </c>
      <c r="I26" s="56" t="s">
        <v>105</v>
      </c>
    </row>
    <row r="27" ht="30" customHeight="1" spans="1:9" x14ac:dyDescent="0.25">
      <c r="A27" s="54" t="s">
        <v>334</v>
      </c>
      <c r="B27" s="55" t="s">
        <v>126</v>
      </c>
      <c r="C27" s="53" t="s">
        <v>106</v>
      </c>
      <c r="D27" s="54" t="s">
        <v>106</v>
      </c>
      <c r="E27" s="56" t="s">
        <v>319</v>
      </c>
      <c r="F27" s="56" t="s">
        <v>335</v>
      </c>
      <c r="G27" s="56" t="s">
        <v>309</v>
      </c>
      <c r="H27" s="56" t="s">
        <v>336</v>
      </c>
      <c r="I27" s="56" t="s">
        <v>105</v>
      </c>
    </row>
    <row r="28" ht="30" customHeight="1" spans="1:9" x14ac:dyDescent="0.25">
      <c r="A28" s="54" t="s">
        <v>337</v>
      </c>
      <c r="B28" s="55" t="s">
        <v>127</v>
      </c>
      <c r="C28" s="53" t="s">
        <v>106</v>
      </c>
      <c r="D28" s="54" t="s">
        <v>106</v>
      </c>
      <c r="E28" s="56" t="s">
        <v>338</v>
      </c>
      <c r="F28" s="56" t="s">
        <v>339</v>
      </c>
      <c r="G28" s="56" t="s">
        <v>309</v>
      </c>
      <c r="H28" s="56" t="s">
        <v>340</v>
      </c>
      <c r="I28" s="56" t="s">
        <v>105</v>
      </c>
    </row>
    <row r="30" spans="1:1" x14ac:dyDescent="0.25">
      <c r="A30" s="57" t="s">
        <v>341</v>
      </c>
    </row>
    <row r="31" spans="1:6" x14ac:dyDescent="0.25">
      <c r="A31" s="34" t="s">
        <v>188</v>
      </c>
      <c r="B31" s="34" t="s">
        <v>342</v>
      </c>
      <c r="C31" s="34"/>
      <c r="D31" s="34"/>
      <c r="E31" s="34" t="s">
        <v>343</v>
      </c>
      <c r="F31" s="34" t="s">
        <v>191</v>
      </c>
    </row>
    <row r="32" ht="34" customHeight="1" spans="1:6" x14ac:dyDescent="0.25">
      <c r="A32" s="58" t="s">
        <v>344</v>
      </c>
      <c r="B32" s="59" t="s">
        <v>345</v>
      </c>
      <c r="C32" s="59"/>
      <c r="D32" s="59"/>
      <c r="E32" s="38" t="s">
        <v>346</v>
      </c>
      <c r="F32" s="38" t="s">
        <v>347</v>
      </c>
    </row>
    <row r="33" ht="34" customHeight="1" spans="1:6" x14ac:dyDescent="0.25">
      <c r="A33" s="60" t="s">
        <v>101</v>
      </c>
      <c r="B33" s="59" t="s">
        <v>348</v>
      </c>
      <c r="C33" s="59"/>
      <c r="D33" s="59"/>
      <c r="E33" s="38" t="s">
        <v>349</v>
      </c>
      <c r="F33" s="38" t="s">
        <v>193</v>
      </c>
    </row>
    <row r="34" ht="34" customHeight="1" spans="1:6" x14ac:dyDescent="0.25">
      <c r="A34" s="61" t="s">
        <v>102</v>
      </c>
      <c r="B34" s="59" t="s">
        <v>350</v>
      </c>
      <c r="C34" s="59"/>
      <c r="D34" s="59"/>
      <c r="E34" s="38" t="s">
        <v>351</v>
      </c>
      <c r="F34" s="38" t="s">
        <v>352</v>
      </c>
    </row>
    <row r="35" ht="34" customHeight="1" spans="1:6" x14ac:dyDescent="0.25">
      <c r="A35" s="62" t="s">
        <v>104</v>
      </c>
      <c r="B35" s="59" t="s">
        <v>353</v>
      </c>
      <c r="C35" s="59"/>
      <c r="D35" s="59"/>
      <c r="E35" s="38" t="s">
        <v>354</v>
      </c>
      <c r="F35" s="38" t="s">
        <v>197</v>
      </c>
    </row>
    <row r="37" spans="1:1" x14ac:dyDescent="0.25">
      <c r="A37" s="57" t="s">
        <v>355</v>
      </c>
    </row>
    <row r="38" ht="28" customHeight="1" spans="2:6" x14ac:dyDescent="0.25">
      <c r="B38" s="63" t="s">
        <v>356</v>
      </c>
      <c r="C38" s="63"/>
      <c r="D38" s="63"/>
      <c r="E38" s="38" t="s">
        <v>357</v>
      </c>
      <c r="F38" s="38"/>
    </row>
    <row r="39" ht="28" customHeight="1" spans="2:6" x14ac:dyDescent="0.25">
      <c r="B39" s="63" t="s">
        <v>358</v>
      </c>
      <c r="C39" s="63"/>
      <c r="D39" s="63"/>
      <c r="E39" s="38" t="s">
        <v>359</v>
      </c>
      <c r="F39" s="38"/>
    </row>
    <row r="40" ht="28" customHeight="1" spans="2:6" x14ac:dyDescent="0.25">
      <c r="B40" s="63" t="s">
        <v>360</v>
      </c>
      <c r="C40" s="63"/>
      <c r="D40" s="63"/>
      <c r="E40" s="38" t="s">
        <v>361</v>
      </c>
      <c r="F40" s="38"/>
    </row>
    <row r="41" ht="28" customHeight="1" spans="2:6" x14ac:dyDescent="0.25">
      <c r="B41" s="63" t="s">
        <v>362</v>
      </c>
      <c r="C41" s="63"/>
      <c r="D41" s="63"/>
      <c r="E41" s="38" t="s">
        <v>363</v>
      </c>
      <c r="F41" s="38"/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기입요령</vt:lpstr>
      <vt:lpstr>렌트롤</vt:lpstr>
      <vt:lpstr>자동검증</vt:lpstr>
      <vt:lpstr>컬럼정의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CREDEAL</dc:creator>
  <dc:title/>
  <dc:subject/>
  <dc:description/>
  <cp:keywords/>
  <cp:category/>
  <cp:lastModifiedBy>Unknown</cp:lastModifiedBy>
  <dcterms:created xsi:type="dcterms:W3CDTF">2026-10-05T06:05:19Z</dcterms:created>
  <dcterms:modified xsi:type="dcterms:W3CDTF">2026-10-05T06:05:19Z</dcterms:modified>
</cp:coreProperties>
</file>