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기입요령" state="visible" r:id="rId4"/>
    <sheet sheetId="2" name="렌트롤" state="visible" r:id="rId5"/>
    <sheet sheetId="3" name="자동검증" state="visible" r:id="rId6"/>
    <sheet sheetId="4" name="컬럼정의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G9" authorId="0">
      <text>
        <r>
          <rPr>
            <family val="2"/>
            <sz val="10"/>
            <rFont val="Noto Sans CJK SC"/>
          </rPr>
          <t>임대면적</t>
        </r>
        <r>
          <rPr>
            <family val="2"/>
            <sz val="10"/>
            <rFont val="Arial"/>
          </rPr>
          <t>(C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)·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(D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을 어떤 단위로 적을지 고릅니다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㎡ 또는 평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파일 하나에 하나의 단위만 씁니다</t>
        </r>
        <r>
          <rPr>
            <family val="2"/>
            <sz val="10"/>
            <rFont val="Arial"/>
          </rPr>
          <t xml:space="preserve">.
⚠ </t>
        </r>
        <r>
          <rPr>
            <family val="2"/>
            <sz val="10"/>
            <rFont val="Noto Sans CJK SC"/>
          </rPr>
          <t>숫자를 적은 뒤 단위를 바꾸면 숫자는 그대로이고 뜻만 바뀝니다 — 처음에 고르세요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연면적</t>
        </r>
        <r>
          <rPr>
            <family val="2"/>
            <sz val="10"/>
            <rFont val="Arial"/>
          </rPr>
          <t>(J4)</t>
        </r>
        <r>
          <rPr>
            <family val="2"/>
            <sz val="10"/>
            <rFont val="Noto Sans CJK SC"/>
          </rPr>
          <t>은 건축물대장 값이라 ㎡ 고정입니다</t>
        </r>
        <r>
          <rPr>
            <family val="2"/>
            <sz val="10"/>
            <rFont val="Arial"/>
          </rPr>
          <t>.</t>
        </r>
      </text>
    </comment>
    <comment ref="A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원본 표기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한 층에 둘이면 행을 나눕니다</t>
        </r>
        <r>
          <rPr>
            <family val="2"/>
            <sz val="10"/>
            <rFont val="Arial"/>
          </rPr>
          <t>.</t>
        </r>
      </text>
    </comment>
    <comment ref="B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조건부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통합계약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한 계약서로 여러 호실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일 때만 같은 이름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금액은 대표 행에만</t>
        </r>
        <r>
          <rPr>
            <family val="2"/>
            <sz val="10"/>
            <rFont val="Arial"/>
          </rPr>
          <t>.</t>
        </r>
      </text>
    </comment>
    <comment ref="C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계약면적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전용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공용분담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㎡로 입력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평 환산은 </t>
        </r>
        <r>
          <rPr>
            <family val="2"/>
            <sz val="10"/>
            <rFont val="Arial"/>
          </rPr>
          <t>Q</t>
        </r>
        <r>
          <rPr>
            <family val="2"/>
            <sz val="10"/>
            <rFont val="Noto Sans CJK SC"/>
          </rPr>
          <t>열이 자동 계산</t>
        </r>
        <r>
          <rPr>
            <family val="2"/>
            <sz val="10"/>
            <rFont val="Arial"/>
          </rPr>
          <t>.</t>
        </r>
      </text>
    </comment>
    <comment ref="D12" authorId="0">
      <text>
        <r>
          <rPr>
            <family val="2"/>
            <sz val="10"/>
            <rFont val="Arial"/>
          </rPr>
          <t>[R2*·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임차인 독점 사용면적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임대면적 이하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전용률</t>
        </r>
        <r>
          <rPr>
            <family val="2"/>
            <sz val="10"/>
            <rFont val="Arial"/>
          </rPr>
          <t>(S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이 자동 계산됩니다</t>
        </r>
        <r>
          <rPr>
            <family val="2"/>
            <sz val="10"/>
            <rFont val="Arial"/>
          </rPr>
          <t>.</t>
        </r>
      </text>
    </comment>
    <comment ref="E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원문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추측 금지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공실이면 </t>
        </r>
        <r>
          <rPr>
            <family val="2"/>
            <sz val="10"/>
            <rFont val="Arial"/>
          </rPr>
          <t>'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'.</t>
        </r>
      </text>
    </comment>
    <comment ref="F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주거용 오피스텔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.</t>
        </r>
      </text>
    </comment>
    <comment ref="G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 단위 숫자만</t>
        </r>
        <r>
          <rPr>
            <family val="2"/>
            <sz val="10"/>
            <rFont val="Arial"/>
          </rPr>
          <t>. 5,000</t>
        </r>
        <r>
          <rPr>
            <family val="2"/>
            <sz val="10"/>
            <rFont val="Noto Sans CJK SC"/>
          </rPr>
          <t xml:space="preserve">만원 → </t>
        </r>
        <r>
          <rPr>
            <family val="2"/>
            <sz val="10"/>
            <rFont val="Arial"/>
          </rPr>
          <t>50000000</t>
        </r>
      </text>
    </comment>
    <comment ref="H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임대료</t>
        </r>
        <r>
          <rPr>
            <family val="2"/>
            <sz val="10"/>
            <rFont val="Arial"/>
          </rPr>
          <t>(VAT·</t>
        </r>
        <r>
          <rPr>
            <family val="2"/>
            <sz val="10"/>
            <rFont val="Noto Sans CJK SC"/>
          </rPr>
          <t>관리비 제외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I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관리비 청구액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J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처음 입주한 날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갱신요구권 </t>
        </r>
        <r>
          <rPr>
            <family val="2"/>
            <sz val="10"/>
            <rFont val="Arial"/>
          </rPr>
          <t>10</t>
        </r>
        <r>
          <rPr>
            <family val="2"/>
            <sz val="10"/>
            <rFont val="Noto Sans CJK SC"/>
          </rPr>
          <t>년 기산일</t>
        </r>
        <r>
          <rPr>
            <family val="2"/>
            <sz val="10"/>
            <rFont val="Arial"/>
          </rPr>
          <t>.</t>
        </r>
      </text>
    </comment>
    <comment ref="K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현재 계약의 시작일</t>
        </r>
        <r>
          <rPr>
            <family val="2"/>
            <sz val="10"/>
            <rFont val="Arial"/>
          </rPr>
          <t>.</t>
        </r>
      </text>
    </comment>
    <comment ref="L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 xml:space="preserve">)] </t>
        </r>
        <r>
          <rPr>
            <family val="2"/>
            <sz val="10"/>
            <rFont val="Noto Sans CJK SC"/>
          </rPr>
          <t>현재 계약 만료일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만기</t>
        </r>
        <r>
          <rPr>
            <family val="2"/>
            <sz val="10"/>
            <rFont val="Arial"/>
          </rPr>
          <t xml:space="preserve">·WALE </t>
        </r>
        <r>
          <rPr>
            <family val="2"/>
            <sz val="10"/>
            <rFont val="Noto Sans CJK SC"/>
          </rPr>
          <t>기준</t>
        </r>
        <r>
          <rPr>
            <family val="2"/>
            <sz val="10"/>
            <rFont val="Arial"/>
          </rPr>
          <t>.</t>
        </r>
      </text>
    </comment>
    <comment ref="M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있음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모름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묵시적 갱신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.</t>
        </r>
      </text>
    </comment>
    <comment ref="N12" authorId="0">
      <text>
        <r>
          <rPr>
            <family val="2"/>
            <sz val="10"/>
            <rFont val="Arial"/>
          </rPr>
          <t xml:space="preserve">[R3] </t>
        </r>
        <r>
          <rPr>
            <family val="2"/>
            <sz val="10"/>
            <rFont val="Noto Sans CJK SC"/>
          </rPr>
          <t>사업자등록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주민등록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>.</t>
        </r>
      </text>
    </comment>
    <comment ref="O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자가사용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자가사용≠공실</t>
        </r>
        <r>
          <rPr>
            <family val="2"/>
            <sz val="10"/>
            <rFont val="Arial"/>
          </rPr>
          <t>.</t>
        </r>
      </text>
    </comment>
    <comment ref="P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선택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특이사항</t>
        </r>
        <r>
          <rPr>
            <family val="2"/>
            <sz val="10"/>
            <rFont val="Arial"/>
          </rPr>
          <t>.</t>
        </r>
      </text>
    </comment>
    <comment ref="Q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÷ 3.305785</t>
        </r>
      </text>
    </comment>
    <comment ref="R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>÷ 3.305785</t>
        </r>
      </text>
    </comment>
    <comment ref="S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 xml:space="preserve">÷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× 100</t>
        </r>
      </text>
    </comment>
    <comment ref="T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보증금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×100 (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·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U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환산보증금 ≤ 지역기준</t>
        </r>
        <r>
          <rPr>
            <family val="2"/>
            <sz val="10"/>
            <rFont val="Arial"/>
          </rPr>
          <t>(C7)</t>
        </r>
        <r>
          <rPr>
            <family val="2"/>
            <sz val="10"/>
            <rFont val="Noto Sans CJK SC"/>
          </rPr>
          <t>이면 ○</t>
        </r>
      </text>
    </comment>
    <comment ref="V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=10</t>
        </r>
        <r>
          <rPr>
            <family val="2"/>
            <sz val="10"/>
            <rFont val="Noto Sans CJK SC"/>
          </rPr>
          <t>년−경과</t>
        </r>
        <r>
          <rPr>
            <family val="2"/>
            <sz val="10"/>
            <rFont val="Arial"/>
          </rPr>
          <t xml:space="preserve">, 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행사이력 기준</t>
        </r>
      </text>
    </comment>
    <comment ref="W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평가기준일 </t>
        </r>
        <r>
          <rPr>
            <family val="2"/>
            <sz val="10"/>
            <rFont val="Arial"/>
          </rPr>
          <t xml:space="preserve">vs </t>
        </r>
        <r>
          <rPr>
            <family val="2"/>
            <sz val="10"/>
            <rFont val="Noto Sans CJK SC"/>
          </rPr>
          <t>만료일</t>
        </r>
        <r>
          <rPr>
            <family val="2"/>
            <sz val="10"/>
            <rFont val="Arial"/>
          </rPr>
          <t>. 30</t>
        </r>
        <r>
          <rPr>
            <family val="2"/>
            <sz val="10"/>
            <rFont val="Noto Sans CJK SC"/>
          </rPr>
          <t>일 이내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임박</t>
        </r>
      </text>
    </comment>
    <comment ref="X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월세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 xml:space="preserve">관리비 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Y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>] (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관리비</t>
        </r>
        <r>
          <rPr>
            <family val="2"/>
            <sz val="10"/>
            <rFont val="Arial"/>
          </rPr>
          <t xml:space="preserve">) ÷ 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평</t>
        </r>
        <r>
          <rPr>
            <family val="2"/>
            <sz val="10"/>
            <rFont val="Arial"/>
          </rPr>
          <t>)</t>
        </r>
      </text>
    </comment>
  </commentList>
</comments>
</file>

<file path=xl/sharedStrings.xml><?xml version="1.0" encoding="utf-8"?>
<sst xmlns="http://schemas.openxmlformats.org/spreadsheetml/2006/main" count="784" uniqueCount="541">
  <si>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 xml:space="preserve">v1.5 — </t>
    </r>
    <r>
      <rPr>
        <b/>
        <color rgb="FF1F3864"/>
        <family val="2"/>
        <sz val="15"/>
        <rFont val="Noto Sans CJK SC"/>
      </rPr>
      <t>기입요령</t>
    </r>
  </si>
  <si>
    <t>모바일 IM 업로드용 표준 양식입니다. 「렌트롤」 시트의 노란색 셀만 입력하세요. (1행 = 1호실, 최대 100호실)</t>
  </si>
  <si>
    <t>계약그룹이란? — 한 임차인이 한 계약서로 여러 호실·층을 쓰는 경우 (통합계약)</t>
  </si>
  <si>
    <t>뜻</t>
  </si>
  <si>
    <t>하나의 임대차계약서로 한 임차인이 여러 호실(예: 1F+2F)을 쓸 때, 그 호실들을 한 묶음으로 표시하는 이름표입니다. 호실마다 따로 계약했다면 비워 두세요.</t>
  </si>
  <si>
    <t>쓰는 법</t>
  </si>
  <si>
    <t>같은 계약에 속한 호실에는 같은 이름(A, B, 1 …)을 적습니다. 이름은 자유이며, 서로 다른 계약은 다른 이름으로 구분합니다.</t>
  </si>
  <si>
    <t>금액은 대표 행에만</t>
  </si>
  <si>
    <t>보증금·월세·관리비는 묶음 중 한 행(대표 행)에만 적고 나머지 행은 비웁니다. 면적(임대·전용)·호실/층·업종/상호·임대상태·만료일·적용법령·최초 계약일·대항력 요건·근거는 행마다 적습니다 (v1.4 명확화).</t>
  </si>
  <si>
    <t>예시 (설명용)</t>
  </si>
  <si>
    <r>
      <rPr>
        <charset val="1"/>
        <sz val="10"/>
        <rFont val="맑은 고딕"/>
      </rPr>
      <t xml:space="preserve">1F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</t>
    </r>
    <r>
      <rPr>
        <charset val="1"/>
        <sz val="10"/>
        <rFont val="맑은 고딕"/>
      </rPr>
      <t>100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입력   ← 대표 행
</t>
    </r>
    <r>
      <rPr>
        <charset val="1"/>
        <sz val="10"/>
        <rFont val="맑은 고딕"/>
      </rPr>
      <t xml:space="preserve">2F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80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비움   ← 같은 계약
</t>
    </r>
    <r>
      <rPr>
        <charset val="1"/>
        <sz val="10"/>
        <rFont val="맑은 고딕"/>
      </rPr>
      <t>3F │ (</t>
    </r>
    <r>
      <rPr>
        <family val="2"/>
        <sz val="10"/>
        <rFont val="Noto Sans CJK SC"/>
      </rPr>
      <t>비움</t>
    </r>
    <r>
      <rPr>
        <charset val="1"/>
        <sz val="10"/>
        <rFont val="맑은 고딕"/>
      </rPr>
      <t xml:space="preserve">)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90</t>
    </r>
    <r>
      <rPr>
        <family val="2"/>
        <sz val="10"/>
        <rFont val="Noto Sans CJK SC"/>
      </rPr>
      <t>㎡ │ △△법무법인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월세 입력  ← 단독 계약</t>
    </r>
  </si>
  <si>
    <t>왜 필요한가</t>
  </si>
  <si>
    <t>금액을 층마다 쪼개 적으면 한 계약이 여러 건으로 집계되고 환산보증금(상가법 적용 판정)이 쪼개져 틀어집니다. 대표 행에만 적으면 합계·환산보증금이 계약 1건으로 계산됩니다.</t>
  </si>
  <si>
    <r>
      <rPr>
        <b/>
        <charset val="1"/>
        <sz val="10"/>
        <rFont val="맑은 고딕"/>
      </rPr>
      <t>IM</t>
    </r>
    <r>
      <rPr>
        <b/>
        <family val="2"/>
        <sz val="10"/>
        <rFont val="Noto Sans CJK SC"/>
      </rPr>
      <t>에서의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</si>
  <si>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표에서 같은 그룹의 금액 빈 행은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월임대료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관리비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월합계가 「〃」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위와 동일 계약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>로 표시되고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합계에는 대표 행 금액만 더해집니다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계약그룹은 업로드 후 원장</t>
    </r>
    <r>
      <rPr>
        <charset val="1"/>
        <sz val="10"/>
        <rFont val="맑은 고딕"/>
      </rPr>
      <t>(lease_ledger)</t>
    </r>
    <r>
      <rPr>
        <family val="2"/>
        <sz val="10"/>
        <rFont val="Noto Sans CJK SC"/>
      </rPr>
      <t>에도 저장됩니다</t>
    </r>
    <r>
      <rPr>
        <charset val="1"/>
        <sz val="10"/>
        <rFont val="맑은 고딕"/>
      </rPr>
      <t>.</t>
    </r>
  </si>
  <si>
    <t>색상 규칙</t>
  </si>
  <si>
    <t>노란색</t>
  </si>
  <si>
    <t>입력 셀 — 여기만 채웁니다.</t>
  </si>
  <si>
    <t>회색</t>
  </si>
  <si>
    <t>자동계산 — 수식이 들어 있으니 건드리지 마세요.</t>
  </si>
  <si>
    <t>파랑/주황/분홍 (11행)</t>
  </si>
  <si>
    <t>해상도 표시: 주황=R1 발행 최소선 · 파랑=R2 분석 가능 · 분홍=R3 정밀 실사. 자세한 정의는 「컬럼정의」 시트.</t>
  </si>
  <si>
    <t>해상도(R1·R2·R3) — 채울수록 열리는 기능이 늘어납니다</t>
  </si>
  <si>
    <r>
      <rPr>
        <b/>
        <charset val="1"/>
        <sz val="10"/>
        <rFont val="맑은 고딕"/>
      </rPr>
      <t xml:space="preserve">R1 </t>
    </r>
    <r>
      <rPr>
        <b/>
        <family val="2"/>
        <sz val="10"/>
        <rFont val="Noto Sans CJK SC"/>
      </rPr>
      <t>최소형</t>
    </r>
  </si>
  <si>
    <t>호실·업종·보증금·월세·만료일·임대상태 → 렌트롤 표 · 만료 타임라인 · 총액 수익률</t>
  </si>
  <si>
    <r>
      <rPr>
        <b/>
        <charset val="1"/>
        <sz val="10"/>
        <rFont val="맑은 고딕"/>
      </rPr>
      <t xml:space="preserve">R2 </t>
    </r>
    <r>
      <rPr>
        <b/>
        <family val="2"/>
        <sz val="10"/>
        <rFont val="Noto Sans CJK SC"/>
      </rPr>
      <t>필요형</t>
    </r>
  </si>
  <si>
    <r>
      <rPr>
        <charset val="1"/>
        <sz val="10"/>
        <rFont val="맑은 고딕"/>
      </rPr>
      <t xml:space="preserve">R1 + </t>
    </r>
    <r>
      <rPr>
        <family val="2"/>
        <sz val="10"/>
        <rFont val="Noto Sans CJK SC"/>
      </rPr>
      <t>임대면적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적용법령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관리비 → 평당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층별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환산보증금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상임법 판정</t>
    </r>
  </si>
  <si>
    <r>
      <rPr>
        <b/>
        <charset val="1"/>
        <sz val="10"/>
        <rFont val="맑은 고딕"/>
      </rPr>
      <t xml:space="preserve">R3 </t>
    </r>
    <r>
      <rPr>
        <b/>
        <family val="2"/>
        <sz val="10"/>
        <rFont val="Noto Sans CJK SC"/>
      </rPr>
      <t>표준형</t>
    </r>
  </si>
  <si>
    <r>
      <rPr>
        <charset val="1"/>
        <sz val="10"/>
        <rFont val="맑은 고딕"/>
      </rPr>
      <t xml:space="preserve">R2 + </t>
    </r>
    <r>
      <rPr>
        <family val="2"/>
        <sz val="10"/>
        <rFont val="Noto Sans CJK SC"/>
      </rPr>
      <t>최초 계약일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대항력 → 갱신요구권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명도 계획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임대료 정상화 시뮬</t>
    </r>
  </si>
  <si>
    <t>면적 보강 (등급 무관)</t>
  </si>
  <si>
    <t>전 호실 전용면적 입력(전용 ≤ 임대) → 전용률 · 전용평당 월비용(NOC)</t>
  </si>
  <si>
    <t>면적 3종 — 임대면적 · 전용면적 · 전용률</t>
  </si>
  <si>
    <t>임대면적 (C열)</t>
  </si>
  <si>
    <t>임대차계약서에 적힌 계약면적. 전용면적 + 공용면적 분담분입니다. 임대료 평당 단가·공실률의 분모이며, 공실·자가사용 호실도 적습니다. 단위는 G9에서 고른 단위(㎡ 또는 평).</t>
  </si>
  <si>
    <t>전용면적 (D열)</t>
  </si>
  <si>
    <t>임차인이 독점해 사용하는 면적. 건축물대장 전유부 면적과 대조하세요. 임대면적보다 클 수 없습니다. 단위는 임대면적과 같습니다(G9).</t>
  </si>
  <si>
    <t>전용률 (S열, 자동)</t>
  </si>
  <si>
    <t>전용면적 ÷ 임대면적 × 100. 직접 입력하지 마세요. 합계 행(10행)의 전용률은 평균이 아니라 Σ전용 ÷ Σ임대(두 면적이 모두 있는 호실만)입니다.</t>
  </si>
  <si>
    <t>단위</t>
  </si>
  <si>
    <t>면적 단위는 「렌트롤」 시트 G9에서 ㎡ 또는 평을 고릅니다(기본 ㎡). 고른 단위로 C·D열을 적으면 AE·AF열이 ㎡로, Q·R열이 평으로 자동 환산됩니다. 한 파일에는 한 단위만 씁니다. 숫자를 적은 뒤 단위를 바꾸면 숫자는 바뀌지 않고 뜻만 바뀌니 처음에 고르세요. 연면적(J4)은 건축물대장 값이라 ㎡ 고정입니다.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</si>
  <si>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표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</si>
  <si>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표에는 입력한 면적만 나옵니다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임대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전용면적을 모두 적으면 두 열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하나만 적으면 그 열 하나만 표시합니다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한 면적을 다른 면적 값으로 대신 채우지 않고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비워 둔 호실은 「</t>
    </r>
    <r>
      <rPr>
        <charset val="1"/>
        <sz val="10"/>
        <rFont val="맑은 고딕"/>
      </rPr>
      <t>-</t>
    </r>
    <r>
      <rPr>
        <family val="2"/>
        <sz val="10"/>
        <rFont val="Noto Sans CJK SC"/>
      </rPr>
      <t>」로 표시합니다</t>
    </r>
    <r>
      <rPr>
        <charset val="1"/>
        <sz val="10"/>
        <rFont val="맑은 고딕"/>
      </rPr>
      <t>.</t>
    </r>
  </si>
  <si>
    <t>전용면적을 모를 때</t>
  </si>
  <si>
    <t>임대면적만 입력해도 업로드됩니다. 전용률·전용평당 월비용만 보류되고 IM 표에는 임대면적 열만 나옵니다 (「자동검증」에 미기재 호실 수가 표시됩니다).</t>
  </si>
  <si>
    <t>반드시 채워야 하는 항목 (R1)</t>
  </si>
  <si>
    <t>호실/층</t>
  </si>
  <si>
    <t>원본 표기 그대로. 「9F(1)」처럼 한 층에 둘이면 행을 나눠 적습니다.</t>
  </si>
  <si>
    <t>업종/상호 (원문)</t>
  </si>
  <si>
    <t>⚠ 계약서·렌트롤에 적힌 문구를 그대로 옮깁니다. 「사무실」이면 「사무실」입니다. 업종을 추측해 바꾸지 마세요.</t>
  </si>
  <si>
    <t>임대상태</t>
  </si>
  <si>
    <t>임대중 / 공실 / 자가사용. 소유자가 직접 쓰는 층은 「자가사용」 — 공실이 아니지만 임대수입도 없습니다.</t>
  </si>
  <si>
    <t>보증금·월세·관리비</t>
  </si>
  <si>
    <t>원 단위 숫자만. VAT 별도. 「5,000만」처럼 적지 마세요 (5,000만원 → 50000000).</t>
  </si>
  <si>
    <t>현 계약 만료일</t>
  </si>
  <si>
    <t>명도 시점·만기 스케줄 산출의 기준입니다. 날짜 형식은 YYYY-MM-DD.</t>
  </si>
  <si>
    <t>비면 판정이 보류되는 항목 (R2·R3)</t>
  </si>
  <si>
    <t>적용법령 (R2)</t>
  </si>
  <si>
    <t>상가 / 주택 / 미확인. 주거로 쓰는 오피스텔은 「주택」입니다. 이 값에 따라 갱신요구권 계산이 완전히 달라집니다.</t>
  </si>
  <si>
    <t>최초 계약일 (R3)</t>
  </si>
  <si>
    <t>이 임차인이 처음 입주한 날. 현 계약 시작일과 다릅니다. ★ 상가 갱신요구권 10년은 이 날짜로 기산합니다. 비면 「확인 필요」로 출력됩니다.</t>
  </si>
  <si>
    <t>갱신요구권 행사 (R3)</t>
  </si>
  <si>
    <t>있음 / 없음 / 모름. ★ 주택은 1회 한정이라 이 값 없이는 계산할 수 없습니다. 묵시적 갱신은 「없음」입니다 — 갱신요구권을 쓴 것이 아닙니다.</t>
  </si>
  <si>
    <t>대항력 요건 (R3)</t>
  </si>
  <si>
    <t>사업자등록 / 주민등록 / 미확인. 근거 없이 「없음」으로 적으면 발행이 막힙니다.</t>
  </si>
  <si>
    <t>자주 나는 실수</t>
  </si>
  <si>
    <t>업종 추측</t>
  </si>
  <si>
    <t>「사무실」을 「IT스타트업」으로 바꿔 적는 경우. 실제로 있었던 오류입니다.</t>
  </si>
  <si>
    <t>면적 혼동</t>
  </si>
  <si>
    <t>전용면적을 임대면적 칸에 적거나, G9 단위와 다른 단위로 적는 경우. 전용률이 100%를 넘으면(빨간색) 두 칸이 바뀌었는지, 자동검증 V12가 ⚠이면 단위가 섞였는지 확인하세요.</t>
  </si>
  <si>
    <t>경과년수로 갱신권 역산</t>
  </si>
  <si>
    <t>주택은 최초계약일로 계산할 수 없습니다. 행사 이력이 있어야 합니다.</t>
  </si>
  <si>
    <t>합계를 손으로 입력</t>
  </si>
  <si>
    <t>합계(10행)는 자동입니다. 손으로 적으면 각 행 합과 어긋납니다. 실제로 있었던 오류입니다.</t>
  </si>
  <si>
    <t>자가사용을 공실로</t>
  </si>
  <si>
    <t>자가사용은 임대 전환 여력이지 공실 손실이 아닙니다. 구분해 적으세요.</t>
  </si>
  <si>
    <t>예시 행을 지우지 않음</t>
  </si>
  <si>
    <r>
      <rPr>
        <charset val="1"/>
        <sz val="10"/>
        <rFont val="맑은 고딕"/>
      </rPr>
      <t>13</t>
    </r>
    <r>
      <rPr>
        <family val="2"/>
        <sz val="10"/>
        <rFont val="Noto Sans CJK SC"/>
      </rPr>
      <t>행의 예시 행은 비고에 「예시 행」 문구가 있어 업로드에서 자동 제외되지만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보기 혼란을 막기 위해 지우고 쓰세요</t>
    </r>
    <r>
      <rPr>
        <charset val="1"/>
        <sz val="10"/>
        <rFont val="맑은 고딕"/>
      </rPr>
      <t>.</t>
    </r>
  </si>
  <si>
    <t>업로드 (CREDEAL 바텀시트)</t>
  </si>
  <si>
    <t>지원 포맷</t>
  </si>
  <si>
    <r>
      <rPr>
        <charset val="1"/>
        <sz val="10"/>
        <rFont val="맑은 고딕"/>
      </rPr>
      <t xml:space="preserve">.xlsx, .xls, .csv — </t>
    </r>
    <r>
      <rPr>
        <family val="2"/>
        <sz val="10"/>
        <rFont val="Noto Sans CJK SC"/>
      </rPr>
      <t>시스템이 「렌트롤」 시트를 자동으로 찾습니다</t>
    </r>
    <r>
      <rPr>
        <charset val="1"/>
        <sz val="10"/>
        <rFont val="맑은 고딕"/>
      </rPr>
      <t>.</t>
    </r>
  </si>
  <si>
    <t>자동 처리</t>
  </si>
  <si>
    <t>제목행·주소행이 위에 있어도 건너뜁니다. 합계/소계 행·빈 행·예시 행은 제외합니다. 금액은 머리글의 단위(원/만원)를 읽고 만원으로 변환합니다.</t>
  </si>
  <si>
    <t>면적 반영</t>
  </si>
  <si>
    <t>임대면적 → area_sqm, 전용면적 → exclusive_area_sqm은 AE·AF열(㎡ 환산)에서 읽습니다. 입력 단위(G9)는 area_input_unit으로 함께 저장합니다. 전용률은 두 면적으로 재계산합니다.</t>
  </si>
  <si>
    <t>원장 저장</t>
  </si>
  <si>
    <t>계약그룹·적용법령·최초 계약일·갱신요구권 행사·대항력 요건은 렌트롤 표에는 그리지 않지만 업로드 후 원장(lease_ledger)에 저장됩니다. 드롭다운 값 외의 문구는 저장되지 않습니다.</t>
  </si>
  <si>
    <t>문의: support@credeal.co.kr</t>
  </si>
  <si>
    <r>
      <rPr>
        <b/>
        <charset val="1"/>
        <color rgb="FFFFFFFF"/>
        <sz val="11"/>
        <rFont val="맑은 고딕"/>
      </rPr>
      <t xml:space="preserve">v1.4 </t>
    </r>
    <r>
      <rPr>
        <b/>
        <color rgb="FFFFFFFF"/>
        <family val="2"/>
        <sz val="11"/>
        <rFont val="Noto Sans CJK SC"/>
      </rPr>
      <t>변경점</t>
    </r>
  </si>
  <si>
    <t>평가 기준일</t>
  </si>
  <si>
    <r>
      <rPr>
        <charset val="1"/>
        <sz val="10"/>
        <rFont val="맑은 고딕"/>
      </rPr>
      <t>C6</t>
    </r>
    <r>
      <rPr>
        <family val="2"/>
        <sz val="10"/>
        <rFont val="Noto Sans CJK SC"/>
      </rPr>
      <t>은 이제 렌트롤 기준일</t>
    </r>
    <r>
      <rPr>
        <charset val="1"/>
        <sz val="10"/>
        <rFont val="맑은 고딕"/>
      </rPr>
      <t>(C5)</t>
    </r>
    <r>
      <rPr>
        <family val="2"/>
        <sz val="10"/>
        <rFont val="Noto Sans CJK SC"/>
      </rPr>
      <t>을 그대로 씁니다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같은 렌트롤이면 언제 열어도 갱신권 잔여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계약 상태가 같습니다</t>
    </r>
    <r>
      <rPr>
        <charset val="1"/>
        <sz val="10"/>
        <rFont val="맑은 고딕"/>
      </rPr>
      <t>. C5</t>
    </r>
    <r>
      <rPr>
        <family val="2"/>
        <sz val="10"/>
        <rFont val="Noto Sans CJK SC"/>
      </rPr>
      <t xml:space="preserve">가 비면 </t>
    </r>
    <r>
      <rPr>
        <charset val="1"/>
        <sz val="10"/>
        <rFont val="맑은 고딕"/>
      </rPr>
      <t>TODAY()</t>
    </r>
    <r>
      <rPr>
        <family val="2"/>
        <sz val="10"/>
        <rFont val="Noto Sans CJK SC"/>
      </rPr>
      <t>로 대체됩니다</t>
    </r>
    <r>
      <rPr>
        <charset val="1"/>
        <sz val="10"/>
        <rFont val="맑은 고딕"/>
      </rPr>
      <t>.</t>
    </r>
  </si>
  <si>
    <t>통합계약 판정</t>
  </si>
  <si>
    <t>대표 행에만 금액을 적어도 R1·R2가 정상 판정됩니다. 그룹에 금액 행이 없거나 둘 이상이면 AD열에 「월세 누락」「금액 중복」이 뜹니다.</t>
  </si>
  <si>
    <t>전용평당 월비용</t>
  </si>
  <si>
    <t>통합계약은 그룹 전체 전용면적 합으로 나눕니다(이전: 대표 행 면적만 → 과대 계산). 그룹 중 전용면적 빈 행이 있으면 보류됩니다.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</si>
  <si>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 xml:space="preserve">연계 입력 </t>
    </r>
    <r>
      <rPr>
        <b/>
        <charset val="1"/>
        <sz val="10"/>
        <rFont val="맑은 고딕"/>
      </rPr>
      <t>(H3:O8)</t>
    </r>
  </si>
  <si>
    <t>매각(희망)가·연면적·시장 임대료 3칸(+출처)·기타수입(+내역). 수익률·면적 대조·정상화 시뮬에 쓰입니다.</t>
  </si>
  <si>
    <t>근거 (Z열)</t>
  </si>
  <si>
    <t>계약서 원본 / 매도인 렌트롤 / 구두. IM 렌트롤 장의 출처 배지로 그대로 나갑니다. 확인하지 않은 행을 「계약서 원본」으로 적지 마세요.</t>
  </si>
  <si>
    <t>렌트프리 잔여 (AA열)</t>
  </si>
  <si>
    <t>남은 무상·할인 개월 수. 0이면 비워도 됩니다. 1 이상이면 수익률에 「렌트프리 반영 전」이 붙습니다.</t>
  </si>
  <si>
    <t>입금 확인 (AB열)</t>
  </si>
  <si>
    <t>최근 12개월 통장 입금 대조 결과: 정상 / 연체 / 미확인. 대조하지 않았으면 「미확인」입니다.</t>
  </si>
  <si>
    <t>만기 구간 (AC열, 자동)</t>
  </si>
  <si>
    <t>만료 경과 / 12개월 내 / 12개월 초과 / 공실 / 자가사용. IM 스태킹 플랜의 빨간 테두리와 「12개월 내 만기 월세 비중」에 쓰입니다.</t>
  </si>
  <si>
    <r>
      <rPr>
        <b/>
        <charset val="1"/>
        <color rgb="FFFFFFFF"/>
        <sz val="11"/>
        <rFont val="맑은 고딕"/>
      </rPr>
      <t xml:space="preserve">v1.5 </t>
    </r>
    <r>
      <rPr>
        <b/>
        <color rgb="FFFFFFFF"/>
        <family val="2"/>
        <sz val="11"/>
        <rFont val="Noto Sans CJK SC"/>
      </rPr>
      <t>변경점</t>
    </r>
  </si>
  <si>
    <t>면적 입력 단위 (G9)</t>
  </si>
  <si>
    <r>
      <rPr>
        <family val="2"/>
        <sz val="10"/>
        <rFont val="Noto Sans CJK SC"/>
      </rPr>
      <t xml:space="preserve">㎡ </t>
    </r>
    <r>
      <rPr>
        <charset val="1"/>
        <sz val="10"/>
        <rFont val="맑은 고딕"/>
      </rPr>
      <t xml:space="preserve">/ </t>
    </r>
    <r>
      <rPr>
        <family val="2"/>
        <sz val="10"/>
        <rFont val="Noto Sans CJK SC"/>
      </rPr>
      <t>평 중 선택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기본 ㎡</t>
    </r>
    <r>
      <rPr>
        <charset val="1"/>
        <sz val="10"/>
        <rFont val="맑은 고딕"/>
      </rPr>
      <t xml:space="preserve">. C12·D12 </t>
    </r>
    <r>
      <rPr>
        <family val="2"/>
        <sz val="10"/>
        <rFont val="Noto Sans CJK SC"/>
      </rPr>
      <t>머리글이 고른 단위로 바뀝니다</t>
    </r>
    <r>
      <rPr>
        <charset val="1"/>
        <sz val="10"/>
        <rFont val="맑은 고딕"/>
      </rPr>
      <t>.</t>
    </r>
  </si>
  <si>
    <t>㎡ 환산 열 (AE·AF, 자동)</t>
  </si>
  <si>
    <r>
      <rPr>
        <family val="2"/>
        <sz val="10"/>
        <rFont val="Noto Sans CJK SC"/>
      </rPr>
      <t>입력 단위와 상관없이 ㎡로 환산한 정본 면적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 입력 시 </t>
    </r>
    <r>
      <rPr>
        <charset val="1"/>
        <sz val="10"/>
        <rFont val="맑은 고딕"/>
      </rPr>
      <t>× 3.305785 (</t>
    </r>
    <r>
      <rPr>
        <family val="2"/>
        <sz val="10"/>
        <rFont val="Noto Sans CJK SC"/>
      </rPr>
      <t xml:space="preserve">소수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>자리 반올림</t>
    </r>
    <r>
      <rPr>
        <charset val="1"/>
        <sz val="10"/>
        <rFont val="맑은 고딕"/>
      </rPr>
      <t xml:space="preserve">). </t>
    </r>
    <r>
      <rPr>
        <family val="2"/>
        <sz val="10"/>
        <rFont val="Noto Sans CJK SC"/>
      </rPr>
      <t>평</t>
    </r>
    <r>
      <rPr>
        <charset val="1"/>
        <sz val="10"/>
        <rFont val="맑은 고딕"/>
      </rPr>
      <t>(Q·R)·</t>
    </r>
    <r>
      <rPr>
        <family val="2"/>
        <sz val="10"/>
        <rFont val="Noto Sans CJK SC"/>
      </rPr>
      <t>전용평당 월비용</t>
    </r>
    <r>
      <rPr>
        <charset val="1"/>
        <sz val="10"/>
        <rFont val="맑은 고딕"/>
      </rPr>
      <t>(Y)·</t>
    </r>
    <r>
      <rPr>
        <family val="2"/>
        <sz val="10"/>
        <rFont val="Noto Sans CJK SC"/>
      </rPr>
      <t>자동검증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업로드는 모두 이 열을 씁니다</t>
    </r>
    <r>
      <rPr>
        <charset val="1"/>
        <sz val="10"/>
        <rFont val="맑은 고딕"/>
      </rPr>
      <t>.</t>
    </r>
  </si>
  <si>
    <t>단위 혼동 검증 (V12)</t>
  </si>
  <si>
    <r>
      <rPr>
        <family val="2"/>
        <sz val="10"/>
        <rFont val="Noto Sans CJK SC"/>
      </rPr>
      <t xml:space="preserve">임대면적 합 </t>
    </r>
    <r>
      <rPr>
        <charset val="1"/>
        <sz val="10"/>
        <rFont val="맑은 고딕"/>
      </rPr>
      <t xml:space="preserve">÷ </t>
    </r>
    <r>
      <rPr>
        <family val="2"/>
        <sz val="10"/>
        <rFont val="Noto Sans CJK SC"/>
      </rPr>
      <t>연면적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㎡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 xml:space="preserve">이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 xml:space="preserve">배 초과 또는 </t>
    </r>
    <r>
      <rPr>
        <charset val="1"/>
        <sz val="10"/>
        <rFont val="맑은 고딕"/>
      </rPr>
      <t xml:space="preserve">45% </t>
    </r>
    <r>
      <rPr>
        <family val="2"/>
        <sz val="10"/>
        <rFont val="Noto Sans CJK SC"/>
      </rPr>
      <t>미만이면 「단위 혼동 의심」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평과 ㎡는 </t>
    </r>
    <r>
      <rPr>
        <charset val="1"/>
        <sz val="10"/>
        <rFont val="맑은 고딕"/>
      </rPr>
      <t>3.3</t>
    </r>
    <r>
      <rPr>
        <family val="2"/>
        <sz val="10"/>
        <rFont val="Noto Sans CJK SC"/>
      </rPr>
      <t>배 차이라 섞이면 이 범위를 벗어납니다</t>
    </r>
    <r>
      <rPr>
        <charset val="1"/>
        <sz val="10"/>
        <rFont val="맑은 고딕"/>
      </rPr>
      <t>.</t>
    </r>
  </si>
  <si>
    <t>바뀌지 않은 것</t>
  </si>
  <si>
    <r>
      <rPr>
        <charset val="1"/>
        <sz val="10"/>
        <rFont val="맑은 고딕"/>
      </rPr>
      <t>A~AD</t>
    </r>
    <r>
      <rPr>
        <family val="2"/>
        <sz val="10"/>
        <rFont val="Noto Sans CJK SC"/>
      </rPr>
      <t>열 위치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드롭다운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금액 단위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 xml:space="preserve">연면적 </t>
    </r>
    <r>
      <rPr>
        <charset val="1"/>
        <sz val="10"/>
        <rFont val="맑은 고딕"/>
      </rPr>
      <t>J4(</t>
    </r>
    <r>
      <rPr>
        <family val="2"/>
        <sz val="10"/>
        <rFont val="Noto Sans CJK SC"/>
      </rPr>
      <t>㎡ 고정</t>
    </r>
    <r>
      <rPr>
        <charset val="1"/>
        <sz val="10"/>
        <rFont val="맑은 고딕"/>
      </rPr>
      <t xml:space="preserve">), </t>
    </r>
    <r>
      <rPr>
        <family val="2"/>
        <sz val="10"/>
        <rFont val="Noto Sans CJK SC"/>
      </rPr>
      <t>시장 임대료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원</t>
    </r>
    <r>
      <rPr>
        <charset val="1"/>
        <sz val="10"/>
        <rFont val="맑은 고딕"/>
      </rPr>
      <t>/</t>
    </r>
    <r>
      <rPr>
        <family val="2"/>
        <sz val="10"/>
        <rFont val="Noto Sans CJK SC"/>
      </rPr>
      <t>전용평</t>
    </r>
    <r>
      <rPr>
        <charset val="1"/>
        <sz val="10"/>
        <rFont val="맑은 고딕"/>
      </rPr>
      <t xml:space="preserve">) </t>
    </r>
    <r>
      <rPr>
        <family val="2"/>
        <sz val="10"/>
        <rFont val="Noto Sans CJK SC"/>
      </rPr>
      <t>단위</t>
    </r>
    <r>
      <rPr>
        <charset val="1"/>
        <sz val="10"/>
        <rFont val="맑은 고딕"/>
      </rPr>
      <t>.</t>
    </r>
  </si>
  <si>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>v1.5</t>
    </r>
  </si>
  <si>
    <t>노란색 셀만 입력 · 회색은 자동계산 · 1행=1호실 · 면적 단위는 G9에서 ㎡/평 선택(기본 ㎡) · 금액 원(VAT 별도) · 11행 R1/R2/R3 = 해상도 · v1.5: 면적 입력 단위 선택, AE·AF열 ㎡ 환산(정본)</t>
  </si>
  <si>
    <t>물건명</t>
  </si>
  <si>
    <t>당산동 근생빌딩 (가상 예시)</t>
  </si>
  <si>
    <t>⚠ 렌트롤 기준일이 비면 신선도 판정을 할 수 없습니다</t>
  </si>
  <si>
    <t>매각(희망)가(원)</t>
  </si>
  <si>
    <t>수익률 계산용. 비우면 자동검증의 수익률이 보류됩니다</t>
  </si>
  <si>
    <t>소재지</t>
  </si>
  <si>
    <t>서울특별시 영등포구 당산동5가 11-47</t>
  </si>
  <si>
    <t>※ 환산보증금: 서울 9억 · 과밀억제권역 6.9억 · 광역시 5.4억 · 그 밖 3.7억</t>
  </si>
  <si>
    <t>연면적(㎡ 고정, 건축물대장)</t>
  </si>
  <si>
    <t>공부 API 값(㎡). 임대면적 합계와 대조합니다 — G9 단위와 무관</t>
  </si>
  <si>
    <t>렌트롤 기준일</t>
  </si>
  <si>
    <t>시장 임대료 1층(원/전용평·월)</t>
  </si>
  <si>
    <t>출처·조사일 →</t>
  </si>
  <si>
    <t>인근 중개사 3곳 평균 (2025-04)</t>
  </si>
  <si>
    <t>자동 = 렌트롤 기준일(C5). C5가 비면 TODAY()로 대체되어 열 때마다 값이 바뀝니다</t>
  </si>
  <si>
    <t>시장 임대료 지상층(원/전용평·월)</t>
  </si>
  <si>
    <t>환산보증금 지역기준(원)</t>
  </si>
  <si>
    <t>지역에 맞게 수정 (서울 900,000,000)</t>
  </si>
  <si>
    <t>시장 임대료 지하층(원/전용평·월)</t>
  </si>
  <si>
    <t>인근 중개사 2곳 평균 (2025-04)</t>
  </si>
  <si>
    <t>작성자</t>
  </si>
  <si>
    <t>CREDEAL 테스트 픽스처</t>
  </si>
  <si>
    <t>기타수입(원/월, VAT별도)</t>
  </si>
  <si>
    <t>내역 (예: 안테나·주차·광고) →</t>
  </si>
  <si>
    <t>옥상 통신 안테나·주차</t>
  </si>
  <si>
    <t>작성일</t>
  </si>
  <si>
    <t>면적 단위 ▶</t>
  </si>
  <si>
    <t>㎡</t>
  </si>
  <si>
    <r>
      <rPr>
        <i/>
        <charset val="1"/>
        <color rgb="FF595959"/>
        <sz val="8"/>
        <rFont val="맑은 고딕"/>
      </rPr>
      <t xml:space="preserve">IM </t>
    </r>
    <r>
      <rPr>
        <i/>
        <color rgb="FF595959"/>
        <family val="2"/>
        <sz val="8"/>
        <rFont val="Noto Sans CJK SC"/>
      </rPr>
      <t xml:space="preserve">연계 입력 </t>
    </r>
    <r>
      <rPr>
        <i/>
        <charset val="1"/>
        <color rgb="FF595959"/>
        <sz val="8"/>
        <rFont val="맑은 고딕"/>
      </rPr>
      <t xml:space="preserve">(v1.4) — </t>
    </r>
    <r>
      <rPr>
        <i/>
        <color rgb="FF595959"/>
        <family val="2"/>
        <sz val="8"/>
        <rFont val="Noto Sans CJK SC"/>
      </rPr>
      <t xml:space="preserve">분홍 칸은 </t>
    </r>
    <r>
      <rPr>
        <i/>
        <charset val="1"/>
        <color rgb="FF595959"/>
        <sz val="8"/>
        <rFont val="맑은 고딕"/>
      </rPr>
      <t xml:space="preserve">R3 </t>
    </r>
    <r>
      <rPr>
        <i/>
        <color rgb="FF595959"/>
        <family val="2"/>
        <sz val="8"/>
        <rFont val="Noto Sans CJK SC"/>
      </rPr>
      <t xml:space="preserve">고품질 </t>
    </r>
    <r>
      <rPr>
        <i/>
        <charset val="1"/>
        <color rgb="FF595959"/>
        <sz val="8"/>
        <rFont val="맑은 고딕"/>
      </rPr>
      <t>IM(</t>
    </r>
    <r>
      <rPr>
        <i/>
        <color rgb="FF595959"/>
        <family val="2"/>
        <sz val="8"/>
        <rFont val="Noto Sans CJK SC"/>
      </rPr>
      <t>임대료 정상화 시뮬</t>
    </r>
    <r>
      <rPr>
        <i/>
        <charset val="1"/>
        <color rgb="FF595959"/>
        <sz val="8"/>
        <rFont val="맑은 고딕"/>
      </rPr>
      <t>)</t>
    </r>
    <r>
      <rPr>
        <i/>
        <color rgb="FF595959"/>
        <family val="2"/>
        <sz val="8"/>
        <rFont val="Noto Sans CJK SC"/>
      </rPr>
      <t>용</t>
    </r>
  </si>
  <si>
    <t>합계 (자동)</t>
  </si>
  <si>
    <t>R1</t>
  </si>
  <si>
    <t>R2</t>
  </si>
  <si>
    <t>R2*</t>
  </si>
  <si>
    <t>R3</t>
  </si>
  <si>
    <t>—</t>
  </si>
  <si>
    <t>자동</t>
  </si>
  <si>
    <t>R3+</t>
  </si>
  <si>
    <t>계약그룹</t>
  </si>
  <si>
    <t>적용법령</t>
  </si>
  <si>
    <t>보증금(원)</t>
  </si>
  <si>
    <t>월세(원,VAT별도)</t>
  </si>
  <si>
    <t>관리비(원,VAT별도)</t>
  </si>
  <si>
    <t>최초 계약일</t>
  </si>
  <si>
    <t>현 계약 시작일</t>
  </si>
  <si>
    <t>갱신요구권 행사</t>
  </si>
  <si>
    <t>대항력 요건</t>
  </si>
  <si>
    <t>비고</t>
  </si>
  <si>
    <t>임대면적(평)</t>
  </si>
  <si>
    <t>전용면적(평)</t>
  </si>
  <si>
    <t>전용률(%)</t>
  </si>
  <si>
    <t>환산보증금(자동)</t>
  </si>
  <si>
    <t>상임법 전면적용</t>
  </si>
  <si>
    <t>갱신권 잔여(자동)</t>
  </si>
  <si>
    <t>계약 상태(자동)</t>
  </si>
  <si>
    <t>월 총수입(자동)</t>
  </si>
  <si>
    <t>전용평당 월비용(자동)</t>
  </si>
  <si>
    <t>근거</t>
  </si>
  <si>
    <t>렌트프리 잔여(개월)</t>
  </si>
  <si>
    <t>입금 확인(최근12개월)</t>
  </si>
  <si>
    <t>만기 구간(자동)</t>
  </si>
  <si>
    <t>금액 판정(자동)</t>
  </si>
  <si>
    <t>임대면적(㎡ 환산)</t>
  </si>
  <si>
    <t>전용면적(㎡ 환산)</t>
  </si>
  <si>
    <t>B1</t>
  </si>
  <si>
    <t>카페(자가)</t>
  </si>
  <si>
    <t>상가</t>
  </si>
  <si>
    <t>자가사용</t>
  </si>
  <si>
    <t>1F</t>
  </si>
  <si>
    <t>약국</t>
  </si>
  <si>
    <t>없음</t>
  </si>
  <si>
    <t>사업자등록</t>
  </si>
  <si>
    <t>임대중</t>
  </si>
  <si>
    <t>계약서 원본</t>
  </si>
  <si>
    <t>정상</t>
  </si>
  <si>
    <t>A</t>
  </si>
  <si>
    <t>내과</t>
  </si>
  <si>
    <t>로뎀나무내과 통합계약 A (대표 행)</t>
  </si>
  <si>
    <t>2F</t>
  </si>
  <si>
    <t>로뎀나무내과 통합계약 A (금액은 대표 행)</t>
  </si>
  <si>
    <t>3F</t>
  </si>
  <si>
    <t>헬스장</t>
  </si>
  <si>
    <t>모름</t>
  </si>
  <si>
    <t>매도인 렌트롤</t>
  </si>
  <si>
    <t>4F</t>
  </si>
  <si>
    <t>와인매장</t>
  </si>
  <si>
    <t>구두</t>
  </si>
  <si>
    <t>연체</t>
  </si>
  <si>
    <t>사무실(자가)</t>
  </si>
  <si>
    <t>5F</t>
  </si>
  <si>
    <t>자동 검증 — 발행 전 확인</t>
  </si>
  <si>
    <t>#</t>
  </si>
  <si>
    <t>검증 항목</t>
  </si>
  <si>
    <t>결과</t>
  </si>
  <si>
    <t>판정 기준</t>
  </si>
  <si>
    <t>G19</t>
  </si>
  <si>
    <t>렌트롤 월세 합계 (정본)</t>
  </si>
  <si>
    <t>표지 요약과 다르면 발행 차단. 이 표가 정본입니다.</t>
  </si>
  <si>
    <t>C19</t>
  </si>
  <si>
    <t>임대면적 합계</t>
  </si>
  <si>
    <t>건축물대장 연면적과 대조. 입력 단위와 상관없이 ㎡ 환산값으로 표시합니다.</t>
  </si>
  <si>
    <t>C19-E</t>
  </si>
  <si>
    <t>전용면적 합계</t>
  </si>
  <si>
    <t>건축물대장 전유면적 합계와 0.5% 이내 일치해야 합니다 (A01 경고 기준).</t>
  </si>
  <si>
    <t>C19-R</t>
  </si>
  <si>
    <t>가중 전용률</t>
  </si>
  <si>
    <r>
      <rPr>
        <charset val="1"/>
        <sz val="9"/>
        <rFont val="맑은 고딕"/>
      </rPr>
      <t>Σ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>÷ Σ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두 면적이 모두 있는 호실만</t>
    </r>
    <r>
      <rPr>
        <charset val="1"/>
        <sz val="9"/>
        <rFont val="맑은 고딕"/>
      </rPr>
      <t xml:space="preserve">). </t>
    </r>
    <r>
      <rPr>
        <family val="2"/>
        <sz val="9"/>
        <rFont val="Noto Sans CJK SC"/>
      </rPr>
      <t>호실별 전용률의 단순 평균이 아닙니다</t>
    </r>
    <r>
      <rPr>
        <charset val="1"/>
        <sz val="9"/>
        <rFont val="맑은 고딕"/>
      </rPr>
      <t>.</t>
    </r>
  </si>
  <si>
    <t>C19-M</t>
  </si>
  <si>
    <t>임대면적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</si>
  <si>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</t>
    </r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 산출 불가</t>
    </r>
    <r>
      <rPr>
        <charset val="1"/>
        <sz val="9"/>
        <rFont val="맑은 고딕"/>
      </rPr>
      <t>.</t>
    </r>
  </si>
  <si>
    <t>C19-X</t>
  </si>
  <si>
    <t>전용면적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</si>
  <si>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전용률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전용평당 월비용 보류</t>
    </r>
    <r>
      <rPr>
        <charset val="1"/>
        <sz val="9"/>
        <rFont val="맑은 고딕"/>
      </rPr>
      <t>. (</t>
    </r>
    <r>
      <rPr>
        <family val="2"/>
        <sz val="9"/>
        <rFont val="Noto Sans CJK SC"/>
      </rPr>
      <t>공실 호실 포함</t>
    </r>
    <r>
      <rPr>
        <charset val="1"/>
        <sz val="9"/>
        <rFont val="맑은 고딕"/>
      </rPr>
      <t>)</t>
    </r>
  </si>
  <si>
    <t>C19-V</t>
  </si>
  <si>
    <t>전용률 이상치</t>
  </si>
  <si>
    <r>
      <rPr>
        <charset val="1"/>
        <sz val="9"/>
        <rFont val="맑은 고딕"/>
      </rPr>
      <t xml:space="preserve">100% </t>
    </r>
    <r>
      <rPr>
        <family val="2"/>
        <sz val="9"/>
        <rFont val="Noto Sans CJK SC"/>
      </rPr>
      <t xml:space="preserve">초과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전용면적이 임대면적보다 큰 입력 오류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발행 보류</t>
    </r>
    <r>
      <rPr>
        <charset val="1"/>
        <sz val="9"/>
        <rFont val="맑은 고딕"/>
      </rPr>
      <t xml:space="preserve">). 30% </t>
    </r>
    <r>
      <rPr>
        <family val="2"/>
        <sz val="9"/>
        <rFont val="Noto Sans CJK SC"/>
      </rPr>
      <t xml:space="preserve">미만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면적 기재 오류 의심</t>
    </r>
    <r>
      <rPr>
        <charset val="1"/>
        <sz val="9"/>
        <rFont val="맑은 고딕"/>
      </rPr>
      <t>.</t>
    </r>
  </si>
  <si>
    <t>F11</t>
  </si>
  <si>
    <t>만료 계약 수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</si>
  <si>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호실별 경고</t>
    </r>
    <r>
      <rPr>
        <charset val="1"/>
        <sz val="9"/>
        <rFont val="맑은 고딕"/>
      </rPr>
      <t>.</t>
    </r>
  </si>
  <si>
    <t>F12</t>
  </si>
  <si>
    <t>만료 비율 50% 초과</t>
  </si>
  <si>
    <t>절반 초과 시 렌트롤 갱신 전까지 발행 불가.</t>
  </si>
  <si>
    <t>F13</t>
  </si>
  <si>
    <r>
      <rPr>
        <b/>
        <charset val="1"/>
        <sz val="10"/>
        <rFont val="맑은 고딕"/>
      </rPr>
      <t>30</t>
    </r>
    <r>
      <rPr>
        <b/>
        <family val="2"/>
        <sz val="10"/>
        <rFont val="Noto Sans CJK SC"/>
      </rPr>
      <t>일 내 만료 임박</t>
    </r>
  </si>
  <si>
    <t>재계약 조건이 딜 구조를 바꿉니다. 협의 상태 확인 필요.</t>
  </si>
  <si>
    <t>G18</t>
  </si>
  <si>
    <t>갱신권 판정 보류</t>
  </si>
  <si>
    <t>최초계약일(상가)·행사이력(주택) 누락. 숫자 대신 "확인 필요" 출력.</t>
  </si>
  <si>
    <t>G13</t>
  </si>
  <si>
    <t>대항력 미확인</t>
  </si>
  <si>
    <t>근거 없이 "없음" 표기 시 발행 차단.</t>
  </si>
  <si>
    <t>G17</t>
  </si>
  <si>
    <t>업종 미기재</t>
  </si>
  <si>
    <t>비면 "미상"으로 출력. 추론 금지.</t>
  </si>
  <si>
    <t>T-C</t>
  </si>
  <si>
    <t>환산보증금 초과 호실</t>
  </si>
  <si>
    <t>초과 시 5% 인상상한·우선변제권 미적용. 갱신요구권은 적용됨.</t>
  </si>
  <si>
    <t>F01</t>
  </si>
  <si>
    <t>없으면 신선도 판정 불가.</t>
  </si>
  <si>
    <t>C21</t>
  </si>
  <si>
    <t>공실 / 자가사용</t>
  </si>
  <si>
    <t>자가사용은 임대 전환 여력. 공실 손실과 구분합니다.</t>
  </si>
  <si>
    <t>해상도 판정 — 이 렌트롤로 무엇을 만들 수 있나</t>
  </si>
  <si>
    <t>등급</t>
  </si>
  <si>
    <t>요건</t>
  </si>
  <si>
    <t>충족</t>
  </si>
  <si>
    <t>열리는 기능</t>
  </si>
  <si>
    <r>
      <rPr>
        <b/>
        <charset val="1"/>
        <sz val="9"/>
        <rFont val="맑은 고딕"/>
      </rPr>
      <t xml:space="preserve">R1 </t>
    </r>
    <r>
      <rPr>
        <b/>
        <family val="2"/>
        <sz val="9"/>
        <rFont val="Noto Sans CJK SC"/>
      </rPr>
      <t>최소형</t>
    </r>
  </si>
  <si>
    <t>호실·업종·월세·만료일·임대상태 (임대중 호실 전부 — 통합계약은 그룹마다 대표 행 1개에 월세)</t>
  </si>
  <si>
    <t>렌트롤 표 · 만료 타임라인 · 총액 수익률</t>
  </si>
  <si>
    <r>
      <rPr>
        <b/>
        <charset val="1"/>
        <sz val="9"/>
        <rFont val="맑은 고딕"/>
      </rPr>
      <t xml:space="preserve">R2 </t>
    </r>
    <r>
      <rPr>
        <b/>
        <family val="2"/>
        <sz val="9"/>
        <rFont val="Noto Sans CJK SC"/>
      </rPr>
      <t>필요형</t>
    </r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</si>
  <si>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통합계약은 대표 행</t>
    </r>
    <r>
      <rPr>
        <charset val="1"/>
        <sz val="9"/>
        <rFont val="맑은 고딕"/>
      </rPr>
      <t>)</t>
    </r>
  </si>
  <si>
    <t>평당 단가 · 층별 단가 · 환산보증금 · 상임법 판정</t>
  </si>
  <si>
    <r>
      <rPr>
        <b/>
        <charset val="1"/>
        <sz val="9"/>
        <rFont val="맑은 고딕"/>
      </rPr>
      <t xml:space="preserve">R3 </t>
    </r>
    <r>
      <rPr>
        <b/>
        <family val="2"/>
        <sz val="9"/>
        <rFont val="Noto Sans CJK SC"/>
      </rPr>
      <t>표준형</t>
    </r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</si>
  <si>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>최초계약일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호실 전부 — 통합계약의 비대표 행 포함</t>
    </r>
    <r>
      <rPr>
        <charset val="1"/>
        <sz val="9"/>
        <rFont val="맑은 고딕"/>
      </rPr>
      <t>, '</t>
    </r>
    <r>
      <rPr>
        <family val="2"/>
        <sz val="9"/>
        <rFont val="Noto Sans CJK SC"/>
      </rPr>
      <t>미확인</t>
    </r>
    <r>
      <rPr>
        <charset val="1"/>
        <sz val="9"/>
        <rFont val="맑은 고딕"/>
      </rPr>
      <t xml:space="preserve">' </t>
    </r>
    <r>
      <rPr>
        <family val="2"/>
        <sz val="9"/>
        <rFont val="Noto Sans CJK SC"/>
      </rPr>
      <t>불가</t>
    </r>
    <r>
      <rPr>
        <charset val="1"/>
        <sz val="9"/>
        <rFont val="맑은 고딕"/>
      </rPr>
      <t>)</t>
    </r>
  </si>
  <si>
    <t>갱신요구권 · 명도 계획 · 임대료 정상화 시뮬</t>
  </si>
  <si>
    <t>면적 보강</t>
  </si>
  <si>
    <t>전 호실 임대면적·전용면적 입력, 전용률 100% 이하 (등급 무관)</t>
  </si>
  <si>
    <t>전용률 · 전용평당 월비용(NOC)</t>
  </si>
  <si>
    <t>현재 해상도</t>
  </si>
  <si>
    <t>다음 한 칸</t>
  </si>
  <si>
    <t>※ 이 시트는 참고용입니다. 시스템은 '렌트롤' 시트를 자동으로 읽습니다.</t>
  </si>
  <si>
    <r>
      <rPr>
        <b/>
        <charset val="1"/>
        <color rgb="FF1F3864"/>
        <sz val="13"/>
        <rFont val="맑은 고딕"/>
      </rPr>
      <t xml:space="preserve">v1.4 </t>
    </r>
    <r>
      <rPr>
        <b/>
        <color rgb="FF1F3864"/>
        <family val="2"/>
        <sz val="13"/>
        <rFont val="Noto Sans CJK SC"/>
      </rPr>
      <t xml:space="preserve">추가 검증 — </t>
    </r>
    <r>
      <rPr>
        <b/>
        <charset val="1"/>
        <color rgb="FF1F3864"/>
        <sz val="13"/>
        <rFont val="맑은 고딕"/>
      </rPr>
      <t xml:space="preserve">IM </t>
    </r>
    <r>
      <rPr>
        <b/>
        <color rgb="FF1F3864"/>
        <family val="2"/>
        <sz val="13"/>
        <rFont val="Noto Sans CJK SC"/>
      </rPr>
      <t>연계</t>
    </r>
  </si>
  <si>
    <t>V01</t>
  </si>
  <si>
    <t>통합계약 금액</t>
  </si>
  <si>
    <t>그룹마다 대표 행 1개에만 금액. 중복이면 합계·환산보증금이 틀어지므로 발행 차단.</t>
  </si>
  <si>
    <t>V02</t>
  </si>
  <si>
    <r>
      <rPr>
        <charset val="1"/>
        <sz val="9"/>
        <rFont val="맑은 고딕"/>
      </rPr>
      <t xml:space="preserve">IM </t>
    </r>
    <r>
      <rPr>
        <family val="2"/>
        <sz val="9"/>
        <rFont val="Noto Sans CJK SC"/>
      </rPr>
      <t>발행 시 같은 렌트롤이면 같은 숫자가 나와야 합니다</t>
    </r>
    <r>
      <rPr>
        <charset val="1"/>
        <sz val="9"/>
        <rFont val="맑은 고딕"/>
      </rPr>
      <t>.</t>
    </r>
  </si>
  <si>
    <t>V03</t>
  </si>
  <si>
    <t>임대면적 합 ÷ 연면적</t>
  </si>
  <si>
    <t>주차장·기계실 제외로 100% 미만이 정상. 75% 미만이면 호실 누락, 100% 초과면 면적 오기 의심.</t>
  </si>
  <si>
    <t>V04</t>
  </si>
  <si>
    <t>단순 수익률</t>
  </si>
  <si>
    <t>연 월세 합계 ÷ (매각가 − 보증금 합계). 관리비·기타수입 제외. IM 전 장의 수익률 정본.</t>
  </si>
  <si>
    <t>V05</t>
  </si>
  <si>
    <t>수익률 (기타수입 포함)</t>
  </si>
  <si>
    <r>
      <rPr>
        <charset val="1"/>
        <sz val="9"/>
        <rFont val="맑은 고딕"/>
      </rPr>
      <t>IM</t>
    </r>
    <r>
      <rPr>
        <family val="2"/>
        <sz val="9"/>
        <rFont val="Noto Sans CJK SC"/>
      </rPr>
      <t>에는 기타수입을 별도 줄로 표기</t>
    </r>
    <r>
      <rPr>
        <charset val="1"/>
        <sz val="9"/>
        <rFont val="맑은 고딕"/>
      </rPr>
      <t>.</t>
    </r>
  </si>
  <si>
    <t>V06</t>
  </si>
  <si>
    <r>
      <rPr>
        <b/>
        <charset val="1"/>
        <sz val="10"/>
        <rFont val="맑은 고딕"/>
      </rPr>
      <t>12</t>
    </r>
    <r>
      <rPr>
        <b/>
        <family val="2"/>
        <sz val="10"/>
        <rFont val="Noto Sans CJK SC"/>
      </rPr>
      <t>개월 내 만기 월세 비중</t>
    </r>
  </si>
  <si>
    <t>만료 경과(묵시 갱신) 포함. 50% 초과면 IM 요약·스태킹 플랜 헤드라인에 반영.</t>
  </si>
  <si>
    <t>V07</t>
  </si>
  <si>
    <t>근거 분포 (계약 단위)</t>
  </si>
  <si>
    <t>월세가 적힌 행(계약 1건) 기준. IM 렌트롤 장 상단 배지와 출처 줄에 그대로 표시. 구두가 있으면 해당 행에 [매도인 구두] 표기.</t>
  </si>
  <si>
    <t>V08</t>
  </si>
  <si>
    <t>입금 확인</t>
  </si>
  <si>
    <t>연체가 있으면 유의사항 장으로 이동. 미확인은 "입금 내역 미대조"로 표시.</t>
  </si>
  <si>
    <t>V09</t>
  </si>
  <si>
    <t>렌트프리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</si>
  <si>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수익률 카드에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렌트프리 반영 전</t>
    </r>
    <r>
      <rPr>
        <charset val="1"/>
        <sz val="9"/>
        <rFont val="맑은 고딕"/>
      </rPr>
      <t xml:space="preserve">" </t>
    </r>
    <r>
      <rPr>
        <family val="2"/>
        <sz val="9"/>
        <rFont val="Noto Sans CJK SC"/>
      </rPr>
      <t>표시</t>
    </r>
    <r>
      <rPr>
        <charset val="1"/>
        <sz val="9"/>
        <rFont val="맑은 고딕"/>
      </rPr>
      <t>.</t>
    </r>
  </si>
  <si>
    <t>V10</t>
  </si>
  <si>
    <t>시장 임대료 입력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</si>
  <si>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임대료 정상화 시뮬은 해당 층 시장 임대료와 출처가 있어야 열립니다</t>
    </r>
    <r>
      <rPr>
        <charset val="1"/>
        <sz val="9"/>
        <rFont val="맑은 고딕"/>
      </rPr>
      <t>.</t>
    </r>
  </si>
  <si>
    <t>V11</t>
  </si>
  <si>
    <r>
      <rPr>
        <b/>
        <charset val="1"/>
        <sz val="10"/>
        <rFont val="맑은 고딕"/>
      </rPr>
      <t xml:space="preserve">R3+ </t>
    </r>
    <r>
      <rPr>
        <b/>
        <family val="2"/>
        <sz val="10"/>
        <rFont val="Noto Sans CJK SC"/>
      </rPr>
      <t xml:space="preserve">고품질 </t>
    </r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준비</t>
    </r>
  </si>
  <si>
    <r>
      <rPr>
        <charset val="1"/>
        <sz val="9"/>
        <rFont val="맑은 고딕"/>
      </rPr>
      <t xml:space="preserve">R3 + </t>
    </r>
    <r>
      <rPr>
        <family val="2"/>
        <sz val="9"/>
        <rFont val="Noto Sans CJK SC"/>
      </rPr>
      <t>시장 임대료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출처 포함</t>
    </r>
    <r>
      <rPr>
        <charset val="1"/>
        <sz val="9"/>
        <rFont val="맑은 고딕"/>
      </rPr>
      <t>) 1</t>
    </r>
    <r>
      <rPr>
        <family val="2"/>
        <sz val="9"/>
        <rFont val="Noto Sans CJK SC"/>
      </rPr>
      <t xml:space="preserve">칸 이상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근거 전 호실 → 갱신권 타임라인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정상화 시뮬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민감도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장 생성</t>
    </r>
    <r>
      <rPr>
        <charset val="1"/>
        <sz val="9"/>
        <rFont val="맑은 고딕"/>
      </rPr>
      <t>.</t>
    </r>
  </si>
  <si>
    <t>V12</t>
  </si>
  <si>
    <t>면적 단위 혼동</t>
  </si>
  <si>
    <r>
      <rPr>
        <family val="2"/>
        <sz val="9"/>
        <rFont val="Noto Sans CJK SC"/>
      </rPr>
      <t xml:space="preserve">임대면적 합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연면적이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배 초과 또는 </t>
    </r>
    <r>
      <rPr>
        <charset val="1"/>
        <sz val="9"/>
        <rFont val="맑은 고딕"/>
      </rPr>
      <t xml:space="preserve">45% </t>
    </r>
    <r>
      <rPr>
        <family val="2"/>
        <sz val="9"/>
        <rFont val="Noto Sans CJK SC"/>
      </rPr>
      <t>미만이면 단위가 섞인 것으로 보고 발행 보류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평↔㎡는 </t>
    </r>
    <r>
      <rPr>
        <charset val="1"/>
        <sz val="9"/>
        <rFont val="맑은 고딕"/>
      </rPr>
      <t>3.3</t>
    </r>
    <r>
      <rPr>
        <family val="2"/>
        <sz val="9"/>
        <rFont val="Noto Sans CJK SC"/>
      </rPr>
      <t>배 차이입니다</t>
    </r>
    <r>
      <rPr>
        <charset val="1"/>
        <sz val="9"/>
        <rFont val="맑은 고딕"/>
      </rPr>
      <t>.</t>
    </r>
  </si>
  <si>
    <t>V13</t>
  </si>
  <si>
    <t>면적 입력 단위</t>
  </si>
  <si>
    <r>
      <rPr>
        <family val="2"/>
        <sz val="9"/>
        <rFont val="Noto Sans CJK SC"/>
      </rPr>
      <t>시스템</t>
    </r>
    <r>
      <rPr>
        <charset val="1"/>
        <sz val="9"/>
        <rFont val="맑은 고딕"/>
      </rPr>
      <t>·IM</t>
    </r>
    <r>
      <rPr>
        <family val="2"/>
        <sz val="9"/>
        <rFont val="Noto Sans CJK SC"/>
      </rPr>
      <t xml:space="preserve">은 </t>
    </r>
    <r>
      <rPr>
        <charset val="1"/>
        <sz val="9"/>
        <rFont val="맑은 고딕"/>
      </rPr>
      <t>AE·AF</t>
    </r>
    <r>
      <rPr>
        <family val="2"/>
        <sz val="9"/>
        <rFont val="Noto Sans CJK SC"/>
      </rPr>
      <t>열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정본으로 읽습니다</t>
    </r>
    <r>
      <rPr>
        <charset val="1"/>
        <sz val="9"/>
        <rFont val="맑은 고딕"/>
      </rPr>
      <t xml:space="preserve">. IM </t>
    </r>
    <r>
      <rPr>
        <family val="2"/>
        <sz val="9"/>
        <rFont val="Noto Sans CJK SC"/>
      </rPr>
      <t>표에는 ㎡와 평을 함께 표기합니다</t>
    </r>
    <r>
      <rPr>
        <charset val="1"/>
        <sz val="9"/>
        <rFont val="맑은 고딕"/>
      </rPr>
      <t>.</t>
    </r>
  </si>
  <si>
    <t>컬럼 정의 — R1 / R2 / R3 해상도별 입력 항목과 설명</t>
  </si>
  <si>
    <t>해상도 = 이 렌트롤로 만들 수 있는 분석의 깊이. 판정 로직: src/domain/building/mobile-im/lease-math.ts resolveLedger(). R0은 R1 요건 미달.</t>
  </si>
  <si>
    <t>열</t>
  </si>
  <si>
    <t>컬럼명</t>
  </si>
  <si>
    <t>해상도</t>
  </si>
  <si>
    <t>필수도</t>
  </si>
  <si>
    <t>입력 방식 · 단위</t>
  </si>
  <si>
    <t>설명</t>
  </si>
  <si>
    <t>업로드 반영 필드</t>
  </si>
  <si>
    <t>도메인 필드 (LeaseRow)</t>
  </si>
  <si>
    <t>비었을 때 영향</t>
  </si>
  <si>
    <t>필수</t>
  </si>
  <si>
    <t>텍스트</t>
  </si>
  <si>
    <t>원본 표기 그대로 (예: B1, 1F, 101호). 한 층에 호실이 둘이면 행을 나눠 적습니다.</t>
  </si>
  <si>
    <t>floor</t>
  </si>
  <si>
    <t>unitLabel</t>
  </si>
  <si>
    <t>행 식별 불가 — 층 라벨이 'N F'로 대체됩니다.</t>
  </si>
  <si>
    <t>B</t>
  </si>
  <si>
    <t>조건부</t>
  </si>
  <si>
    <t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</si>
  <si>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>contract_group</t>
  </si>
  <si>
    <t>contractGroup</t>
  </si>
  <si>
    <t>통합계약 금액 중복 집계 위험(대표 행 외 금액을 비워 두면 영향 없음). 비우면 호실마다 별개 계약으로 취급됩니다.</t>
  </si>
  <si>
    <t>C</t>
  </si>
  <si>
    <t>임대면적(G9 단위)</t>
  </si>
  <si>
    <t>권장</t>
  </si>
  <si>
    <t>㎡ 또는 평 (G9 선택, 소수 2자리)</t>
  </si>
  <si>
    <t>임대차계약서상 계약면적 = 전용면적 + 공용면적 분담분. 임대료 평당 단가·면적 기준 공실률의 분모입니다. 공실·자가사용 호실도 적습니다.</t>
  </si>
  <si>
    <r>
      <rPr>
        <charset val="1"/>
        <sz val="9"/>
        <rFont val="맑은 고딕"/>
      </rPr>
      <t>area_sqm (AE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</si>
  <si>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leaseAreaSqm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</si>
  <si>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임대단가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임대료 정상화 산출 불가</t>
    </r>
    <r>
      <rPr>
        <charset val="1"/>
        <sz val="9"/>
        <rFont val="맑은 고딕"/>
      </rPr>
      <t>.</t>
    </r>
  </si>
  <si>
    <t>D</t>
  </si>
  <si>
    <t>전용면적(G9 단위)</t>
  </si>
  <si>
    <t>임차인이 독점해 사용하는 면적(건축물대장 전유부 기준). 임대면적보다 클 수 없습니다. 전용률과 전용평당 월비용의 분모입니다. (* 등급 판정에는 영향 없는 보강 항목)</t>
  </si>
  <si>
    <r>
      <rPr>
        <charset val="1"/>
        <sz val="9"/>
        <rFont val="맑은 고딕"/>
      </rPr>
      <t>exclusive_area_sqm (AF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</si>
  <si>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exclusiveAreaSqm</t>
  </si>
  <si>
    <t>전용률·전용평당 월비용 보류. IM 렌트롤 표에서 전용면적 열이 빠지고 임대면적만 표기됩니다(다른 면적 값으로 대신 채우지 않음).</t>
  </si>
  <si>
    <t>E</t>
  </si>
  <si>
    <t>계약서·렌트롤에 적힌 문구를 그대로 옮깁니다. 업종을 추측해 바꾸지 마세요. 공실이면 '공실'.</t>
  </si>
  <si>
    <t>tenant_type · tenant_name</t>
  </si>
  <si>
    <t>tenantBusiness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</si>
  <si>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렌트롤 표를 그릴 수 없고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임대상태 미기재 시 공실로 추정됩니다</t>
    </r>
    <r>
      <rPr>
        <charset val="1"/>
        <sz val="9"/>
        <rFont val="맑은 고딕"/>
      </rPr>
      <t>.</t>
    </r>
  </si>
  <si>
    <t>F</t>
  </si>
  <si>
    <t>드롭다운 상가/주택/미확인</t>
  </si>
  <si>
    <t>상가 / 주택 / 미확인. 주거로 쓰는 오피스텔은 '주택'. 갱신요구권 산식이 완전히 달라집니다.</t>
  </si>
  <si>
    <t>legal_basis</t>
  </si>
  <si>
    <t>legalBasis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</si>
  <si>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환산보증금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상임법 판정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</si>
  <si>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G</t>
  </si>
  <si>
    <t>원 (VAT 별도)</t>
  </si>
  <si>
    <t>원 단위 숫자만. '5,000만'처럼 적지 마세요 (5,000만원 → 50000000).</t>
  </si>
  <si>
    <t>deposit_manwon (÷10,000)</t>
  </si>
  <si>
    <t>depositKrw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</si>
  <si>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보증금 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환산보증금 산출 불가</t>
    </r>
    <r>
      <rPr>
        <charset val="1"/>
        <sz val="9"/>
        <rFont val="맑은 고딕"/>
      </rPr>
      <t>.</t>
    </r>
  </si>
  <si>
    <t>H</t>
  </si>
  <si>
    <t>월 임대료. VAT·관리비 제외. 원 단위 숫자만.</t>
  </si>
  <si>
    <t>rent_manwon (÷10,000)</t>
  </si>
  <si>
    <t>monthlyRentKrw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</si>
  <si>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임대수입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수익률</t>
    </r>
    <r>
      <rPr>
        <charset val="1"/>
        <sz val="9"/>
        <rFont val="맑은 고딕"/>
      </rPr>
      <t xml:space="preserve">(Gross Yield)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</si>
  <si>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I</t>
  </si>
  <si>
    <t>월 관리비 청구액. 원 단위 숫자만.</t>
  </si>
  <si>
    <t>mgmt_fee_manwon (÷10,000)</t>
  </si>
  <si>
    <t>mgmtFeeKrw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</si>
  <si>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월합계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관리비 포함 비용</t>
    </r>
    <r>
      <rPr>
        <charset val="1"/>
        <sz val="9"/>
        <rFont val="맑은 고딕"/>
      </rPr>
      <t xml:space="preserve">·NOI </t>
    </r>
    <r>
      <rPr>
        <family val="2"/>
        <sz val="9"/>
        <rFont val="Noto Sans CJK SC"/>
      </rPr>
      <t>계열 지표 보류</t>
    </r>
    <r>
      <rPr>
        <charset val="1"/>
        <sz val="9"/>
        <rFont val="맑은 고딕"/>
      </rPr>
      <t>.</t>
    </r>
  </si>
  <si>
    <t>J</t>
  </si>
  <si>
    <t>날짜 YYYY-MM-DD</t>
  </si>
  <si>
    <t>이 임차인이 처음 입주한 날 (현 계약 시작일과 다릅니다). 상가 갱신요구권 10년은 이 날짜로 기산합니다.</t>
  </si>
  <si>
    <t>first_contract_date</t>
  </si>
  <si>
    <t>firstContractDate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</si>
  <si>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상가 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 xml:space="preserve">', </t>
    </r>
    <r>
      <rPr>
        <family val="2"/>
        <sz val="9"/>
        <rFont val="Noto Sans CJK SC"/>
      </rPr>
      <t>명도 시점 산출 불가</t>
    </r>
    <r>
      <rPr>
        <charset val="1"/>
        <sz val="9"/>
        <rFont val="맑은 고딕"/>
      </rPr>
      <t>.</t>
    </r>
  </si>
  <si>
    <t>K</t>
  </si>
  <si>
    <t>현재 유효한 계약의 시작일.</t>
  </si>
  <si>
    <t>lease_start</t>
  </si>
  <si>
    <t>currentStartDate</t>
  </si>
  <si>
    <t>계약 기간 계산(경과 기간) 보류. 등급 판정에는 영향 없음.</t>
  </si>
  <si>
    <t>L</t>
  </si>
  <si>
    <t>현재 계약의 만료일. 명도 시점·만기 스케줄·WALE 산출의 기준입니다. 임대중 호실은 필수.</t>
  </si>
  <si>
    <t>lease_end</t>
  </si>
  <si>
    <t>currentExpiryDate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</si>
  <si>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만기 타임라인</t>
    </r>
    <r>
      <rPr>
        <charset val="1"/>
        <sz val="9"/>
        <rFont val="맑은 고딕"/>
      </rPr>
      <t xml:space="preserve">·WALE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</si>
  <si>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M</t>
  </si>
  <si>
    <t>드롭다운 있음/없음/모름</t>
  </si>
  <si>
    <t>있음 / 없음 / 모름. 주택은 1회 한정이라 이 값 없이는 계산할 수 없습니다. 묵시적 갱신은 '없음'입니다.</t>
  </si>
  <si>
    <t>renewal_exercised</t>
  </si>
  <si>
    <t>renewalExercised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</si>
  <si>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주택 갱신권 판정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</si>
  <si>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N</t>
  </si>
  <si>
    <t>드롭다운 사업자등록/주민등록/미확인</t>
  </si>
  <si>
    <t>사업자등록 / 주민등록 / 미확인. 근거 없이 '없음'으로 적으면 발행이 막힙니다.</t>
  </si>
  <si>
    <t>opposing_power</t>
  </si>
  <si>
    <t>opposingPower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</si>
  <si>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미달 — 대항력 미확인으로 집계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명도 계획 보류</t>
    </r>
    <r>
      <rPr>
        <charset val="1"/>
        <sz val="9"/>
        <rFont val="맑은 고딕"/>
      </rPr>
      <t>.</t>
    </r>
  </si>
  <si>
    <t>O</t>
  </si>
  <si>
    <t>드롭다운 임대중/공실/자가사용</t>
  </si>
  <si>
    <t>임대중 / 공실 / 자가사용. 소유자가 직접 쓰는 층은 '자가사용' — 공실이 아니지만 임대수입도 없습니다.</t>
  </si>
  <si>
    <r>
      <rPr>
        <charset val="1"/>
        <sz val="9"/>
        <rFont val="맑은 고딕"/>
      </rPr>
      <t>is_vacant · lease_state · note('</t>
    </r>
    <r>
      <rPr>
        <family val="2"/>
        <sz val="9"/>
        <rFont val="Noto Sans CJK SC"/>
      </rPr>
      <t>자가사용</t>
    </r>
    <r>
      <rPr>
        <charset val="1"/>
        <sz val="9"/>
        <rFont val="맑은 고딕"/>
      </rPr>
      <t>')</t>
    </r>
  </si>
  <si>
    <t>leaseState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</si>
  <si>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업종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상호가 비어 있으면 공실로 추정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자가사용 구분 불가</t>
    </r>
    <r>
      <rPr>
        <charset val="1"/>
        <sz val="9"/>
        <rFont val="맑은 고딕"/>
      </rPr>
      <t>).</t>
    </r>
  </si>
  <si>
    <t>P</t>
  </si>
  <si>
    <t>선택</t>
  </si>
  <si>
    <t>특이사항(앵커테넌트, 렌트프리 등). '← 예시 행' 문구가 있는 행은 업로드에서 자동 제외됩니다.</t>
  </si>
  <si>
    <t>note</t>
  </si>
  <si>
    <t>영향 없음.</t>
  </si>
  <si>
    <t>Q</t>
  </si>
  <si>
    <t>평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</si>
  <si>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AE) ÷ 3.305785</t>
    </r>
  </si>
  <si>
    <r>
      <rPr>
        <charset val="1"/>
        <sz val="9"/>
        <rFont val="맑은 고딕"/>
      </rPr>
      <t>(</t>
    </r>
    <r>
      <rPr>
        <family val="2"/>
        <sz val="9"/>
        <rFont val="Noto Sans CJK SC"/>
      </rPr>
      <t>계산</t>
    </r>
    <r>
      <rPr>
        <charset val="1"/>
        <sz val="9"/>
        <rFont val="맑은 고딕"/>
      </rPr>
      <t>)</t>
    </r>
  </si>
  <si>
    <t>sqmToPyeong()</t>
  </si>
  <si>
    <t>R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</si>
  <si>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AF) ÷ 3.305785</t>
    </r>
  </si>
  <si>
    <t>S</t>
  </si>
  <si>
    <t>%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</si>
  <si>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 xml:space="preserve">× 100. 100% </t>
    </r>
    <r>
      <rPr>
        <family val="2"/>
        <sz val="9"/>
        <rFont val="Noto Sans CJK SC"/>
      </rPr>
      <t>초과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빨강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는 입력 오류</t>
    </r>
    <r>
      <rPr>
        <charset val="1"/>
        <sz val="9"/>
        <rFont val="맑은 고딕"/>
      </rPr>
      <t xml:space="preserve">, 30% </t>
    </r>
    <r>
      <rPr>
        <family val="2"/>
        <sz val="9"/>
        <rFont val="Noto Sans CJK SC"/>
      </rPr>
      <t>미만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주황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은 면적 기재 오류 의심</t>
    </r>
    <r>
      <rPr>
        <charset val="1"/>
        <sz val="9"/>
        <rFont val="맑은 고딕"/>
      </rPr>
      <t>.</t>
    </r>
  </si>
  <si>
    <t>efficiency_ratio_pct</t>
  </si>
  <si>
    <t>calculateEfficiencyRatio()</t>
  </si>
  <si>
    <t>T</t>
  </si>
  <si>
    <t>원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</si>
  <si>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보증금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× 100. </t>
    </r>
    <r>
      <rPr>
        <family val="2"/>
        <sz val="9"/>
        <rFont val="Noto Sans CJK SC"/>
      </rPr>
      <t>상가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임대중 행만 계산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주택에는 이 개념이 없음</t>
    </r>
    <r>
      <rPr>
        <charset val="1"/>
        <sz val="9"/>
        <rFont val="맑은 고딕"/>
      </rPr>
      <t>).</t>
    </r>
  </si>
  <si>
    <t>convertedDeposit()</t>
  </si>
  <si>
    <t>U</t>
  </si>
  <si>
    <t>○/×</t>
  </si>
  <si>
    <t>환산보증금이 지역 기준(C7) 이하이면 ○. 초과하면 5% 인상상한·우선변제권이 적용되지 않습니다(갱신요구권은 적용).</t>
  </si>
  <si>
    <t>isFullyCovered()</t>
  </si>
  <si>
    <t>V</t>
  </si>
  <si>
    <t>년/까지</t>
  </si>
  <si>
    <t>상가 = 10년 − 최초계약일 경과. 주택 = 갱신요구권 행사 이력에 따라 판정. 근거가 없으면 '확인 필요'.</t>
  </si>
  <si>
    <t>vacatePoint()</t>
  </si>
  <si>
    <t>W</t>
  </si>
  <si>
    <t>유효/임박/만료</t>
  </si>
  <si>
    <t>평가 기준일(C6)과 만료일 비교. 30일 이내면 '임박', 지났으면 '만료 +N일'.</t>
  </si>
  <si>
    <t>contractStatus()</t>
  </si>
  <si>
    <t>X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</si>
  <si>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관리비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행만</t>
    </r>
    <r>
      <rPr>
        <charset val="1"/>
        <sz val="9"/>
        <rFont val="맑은 고딕"/>
      </rPr>
      <t>).</t>
    </r>
  </si>
  <si>
    <t>monthlyGross()</t>
  </si>
  <si>
    <t>Y</t>
  </si>
  <si>
    <t>원/전용평</t>
  </si>
  <si>
    <r>
      <rPr>
        <charset val="1"/>
        <sz val="9"/>
        <rFont val="맑은 고딕"/>
      </rPr>
      <t>= (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 xml:space="preserve">) ÷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평</t>
    </r>
    <r>
      <rPr>
        <charset val="1"/>
        <sz val="9"/>
        <rFont val="맑은 고딕"/>
      </rPr>
      <t xml:space="preserve">, AF ÷ 3.305785). </t>
    </r>
    <r>
      <rPr>
        <family val="2"/>
        <sz val="9"/>
        <rFont val="Noto Sans CJK SC"/>
      </rPr>
      <t>임차인이 실제로 쓰는 면적 기준 실질 비용</t>
    </r>
    <r>
      <rPr>
        <charset val="1"/>
        <sz val="9"/>
        <rFont val="맑은 고딕"/>
      </rPr>
      <t>(NOC).</t>
    </r>
  </si>
  <si>
    <t>calculateNocPerExclusivePyeong()</t>
  </si>
  <si>
    <t>해상도 정의</t>
  </si>
  <si>
    <t>의미</t>
  </si>
  <si>
    <t>필수 입력</t>
  </si>
  <si>
    <t>R0</t>
  </si>
  <si>
    <t>미달</t>
  </si>
  <si>
    <t>임대중 호실의 업종·월세·만료일 누락 등 R1 요건 미충족</t>
  </si>
  <si>
    <t>렌트롤을 발행 수준으로 쓸 수 없음 — 보완 자료 요청</t>
  </si>
  <si>
    <t>발행 최소선</t>
  </si>
  <si>
    <t>호실/층 · 업종/상호 · 보증금 · 월세 · 만료일 · 임대상태</t>
  </si>
  <si>
    <t>분석 가능</t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</si>
  <si>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>) · (</t>
    </r>
    <r>
      <rPr>
        <family val="2"/>
        <sz val="9"/>
        <rFont val="Noto Sans CJK SC"/>
      </rPr>
      <t>권장</t>
    </r>
    <r>
      <rPr>
        <charset val="1"/>
        <sz val="9"/>
        <rFont val="맑은 고딕"/>
      </rPr>
      <t xml:space="preserve">)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현 계약 시작일</t>
    </r>
  </si>
  <si>
    <t>평당 단가 · 층별 단가 · 환산보증금 · 상임법 판정 (전용면적까지 있으면 전용률·전용평당 월비용)</t>
  </si>
  <si>
    <t>정밀 실사</t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</si>
  <si>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 xml:space="preserve">최초계약일 </t>
    </r>
    <r>
      <rPr>
        <charset val="1"/>
        <sz val="9"/>
        <rFont val="맑은 고딕"/>
      </rPr>
      <t xml:space="preserve">· 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갱신요구권 행사는 주택 필수</t>
    </r>
    <r>
      <rPr>
        <charset val="1"/>
        <sz val="9"/>
        <rFont val="맑은 고딕"/>
      </rPr>
      <t>)</t>
    </r>
  </si>
  <si>
    <t>면적 4분모와 렌트롤 면적의 관계</t>
  </si>
  <si>
    <t>대지면적</t>
  </si>
  <si>
    <t>토지 평당 매각가의 분모. 렌트롤에 입력하지 않음.</t>
  </si>
  <si>
    <t>연면적</t>
  </si>
  <si>
    <t>건축물대장 총 바닥면적. 임대면적 합계와 같지 않음(주차장·기계실 등 제외) — 자동 동일시 금지.</t>
  </si>
  <si>
    <t>임대면적</t>
  </si>
  <si>
    <t>렌트롤 C열. 임대료 단가·공실률의 분모. 임대면적 = 전용면적 + 공용면적 분담분.</t>
  </si>
  <si>
    <t>전용면적</t>
  </si>
  <si>
    <t>렌트롤 D열. 전용률·전용평당 월비용의 분모. 전용률(%) = 전용면적 ÷ 임대면적 × 100.</t>
  </si>
  <si>
    <r>
      <rPr>
        <b/>
        <charset val="1"/>
        <color rgb="FF1F3864"/>
        <sz val="15"/>
        <rFont val="맑은 고딕"/>
      </rPr>
      <t xml:space="preserve">v1.4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</si>
  <si>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Z</t>
  </si>
  <si>
    <t>드롭다운 계약서 원본/매도인 렌트롤/구두</t>
  </si>
  <si>
    <t>이 행 숫자의 확인 수준. IM 출처 배지로 출력.</t>
  </si>
  <si>
    <t>evidence_level</t>
  </si>
  <si>
    <t>evidenceLevel</t>
  </si>
  <si>
    <t>근거 미기재로 집계, R3+ 미달.</t>
  </si>
  <si>
    <t>AA</t>
  </si>
  <si>
    <t>숫자 ≥ 0</t>
  </si>
  <si>
    <t>남은 무상·할인 개월 수.</t>
  </si>
  <si>
    <t>rent_free_months</t>
  </si>
  <si>
    <t>rentFreeMonths</t>
  </si>
  <si>
    <t>렌트프리 없음으로 간주.</t>
  </si>
  <si>
    <t>AB</t>
  </si>
  <si>
    <t>드롭다운 정상/연체/미확인</t>
  </si>
  <si>
    <t>통장 입금 대조 결과.</t>
  </si>
  <si>
    <t>payment_status</t>
  </si>
  <si>
    <t>paymentStatus</t>
  </si>
  <si>
    <t>「입금 내역 미대조」로 출력.</t>
  </si>
  <si>
    <t>AC</t>
  </si>
  <si>
    <t>평가 기준일 대비 만료 경과/12개월 내/12개월 초과.</t>
  </si>
  <si>
    <t>expiryBucket()</t>
  </si>
  <si>
    <t>AD</t>
  </si>
  <si>
    <t>단독·통합계약 금액 누락·중복 판정. R1·R2 판정에 사용.</t>
  </si>
  <si>
    <t>amountCheck()</t>
  </si>
  <si>
    <t>J3</t>
  </si>
  <si>
    <t>매각(희망)가</t>
  </si>
  <si>
    <t>IM</t>
  </si>
  <si>
    <t>수익률 정본 계산.</t>
  </si>
  <si>
    <t>asking_price_krw</t>
  </si>
  <si>
    <t>askingPriceKrw</t>
  </si>
  <si>
    <t>수익률 보류.</t>
  </si>
  <si>
    <t>J4</t>
  </si>
  <si>
    <t>㎡ 고정 (건축물대장, G9와 무관)</t>
  </si>
  <si>
    <t>임대면적 합 대조.</t>
  </si>
  <si>
    <t>gfa_sqm</t>
  </si>
  <si>
    <t>gfaSqm</t>
  </si>
  <si>
    <t>면적 대조 보류.</t>
  </si>
  <si>
    <t>J5:J7 · M5:M7</t>
  </si>
  <si>
    <t>시장 임대료 3칸 + 출처</t>
  </si>
  <si>
    <t>원/전용평·월 + 텍스트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</si>
  <si>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지상층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지하층 시장 임대료와 출처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조사일</t>
    </r>
    <r>
      <rPr>
        <charset val="1"/>
        <sz val="9"/>
        <rFont val="맑은 고딕"/>
      </rPr>
      <t>.</t>
    </r>
  </si>
  <si>
    <t>market_rent_*</t>
  </si>
  <si>
    <t>marketRent</t>
  </si>
  <si>
    <t>정상화 시뮬 불가.</t>
  </si>
  <si>
    <t>J8 · M8</t>
  </si>
  <si>
    <t>기타수입 + 내역</t>
  </si>
  <si>
    <t>원/월 + 텍스트</t>
  </si>
  <si>
    <t>주차·안테나·광고 등 임대료 외 수입.</t>
  </si>
  <si>
    <t>other_income_krw</t>
  </si>
  <si>
    <t>otherIncomeKrw</t>
  </si>
  <si>
    <t>기타수입 0으로 간주.</t>
  </si>
  <si>
    <r>
      <rPr>
        <b/>
        <charset val="1"/>
        <color rgb="FF1F3864"/>
        <sz val="15"/>
        <rFont val="맑은 고딕"/>
      </rPr>
      <t xml:space="preserve">v1.5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</si>
  <si>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G9</t>
  </si>
  <si>
    <t>드롭다운 ㎡/평 (기본 ㎡)</t>
  </si>
  <si>
    <t>C·D열 면적을 어떤 단위로 적었는지. 파일당 1개.</t>
  </si>
  <si>
    <t>area_input_unit</t>
  </si>
  <si>
    <t>areaInputUnit</t>
  </si>
  <si>
    <t>㎡로 간주.</t>
  </si>
  <si>
    <t>AE</t>
  </si>
  <si>
    <t>= C × (G9가 평이면 3.305785, ㎡이면 1). 업로드·IM의 임대면적 정본.</t>
  </si>
  <si>
    <t>area_sqm</t>
  </si>
  <si>
    <t>AF</t>
  </si>
  <si>
    <t>= D × (G9가 평이면 3.305785, ㎡이면 1). 업로드·IM의 전용면적 정본.</t>
  </si>
  <si>
    <t>exclusive_area_sqm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</si>
</sst>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%"/>
  </numFmts>
  <fonts count="3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5"/>
      <name val="맑은 고딕"/>
    </font>
    <font>
      <charset val="1"/>
      <family val="2"/>
      <sz val="10"/>
      <name val="Noto Sans CJK SC"/>
    </font>
    <font>
      <b/>
      <charset val="1"/>
      <color rgb="FFFFFFFF"/>
      <family val="2"/>
      <sz val="11"/>
      <name val="Noto Sans CJK SC"/>
    </font>
    <font>
      <b/>
      <charset val="1"/>
      <family val="2"/>
      <sz val="10"/>
      <name val="Noto Sans CJK SC"/>
    </font>
    <font>
      <charset val="1"/>
      <sz val="10"/>
      <name val="맑은 고딕"/>
    </font>
    <font>
      <b/>
      <charset val="1"/>
      <sz val="10"/>
      <name val="맑은 고딕"/>
    </font>
    <font>
      <charset val="1"/>
      <color rgb="FF7F7F7F"/>
      <family val="2"/>
      <sz val="10"/>
      <name val="Noto Sans CJK SC"/>
    </font>
    <font>
      <b/>
      <charset val="1"/>
      <color rgb="FFFFFFFF"/>
      <sz val="11"/>
      <name val="맑은 고딕"/>
    </font>
    <font>
      <family val="2"/>
      <sz val="10"/>
      <name val="Noto Sans CJK SC"/>
    </font>
    <font>
      <charset val="1"/>
      <color rgb="FF595959"/>
      <family val="2"/>
      <sz val="9"/>
      <name val="Noto Sans CJK SC"/>
    </font>
    <font>
      <charset val="1"/>
      <color rgb="FF595959"/>
      <family val="2"/>
      <sz val="8"/>
      <name val="Noto Sans CJK SC"/>
    </font>
    <font>
      <b/>
      <charset val="1"/>
      <family val="2"/>
      <sz val="9"/>
      <name val="Noto Sans CJK SC"/>
    </font>
    <font>
      <charset val="1"/>
      <sz val="9"/>
      <name val="맑은 고딕"/>
    </font>
    <font>
      <b/>
      <charset val="1"/>
      <color rgb="FFC00000"/>
      <sz val="10"/>
      <name val="Noto Sans CJK SC"/>
    </font>
    <font>
      <b/>
      <family val="2"/>
      <sz val="11"/>
      <name val="Noto Sans CJK SC"/>
    </font>
    <font>
      <i/>
      <charset val="1"/>
      <color rgb="FF595959"/>
      <sz val="8"/>
      <name val="맑은 고딕"/>
    </font>
    <font>
      <b/>
      <charset val="1"/>
      <color rgb="FF555555"/>
      <sz val="8"/>
      <name val="맑은 고딕"/>
    </font>
    <font>
      <b/>
      <charset val="1"/>
      <color rgb="FF555555"/>
      <family val="2"/>
      <sz val="8"/>
      <name val="Noto Sans CJK SC"/>
    </font>
    <font>
      <b/>
      <charset val="1"/>
      <color rgb="FFFFFFFF"/>
      <family val="2"/>
      <sz val="9"/>
      <name val="Noto Sans CJK SC"/>
    </font>
    <font>
      <charset val="1"/>
      <family val="2"/>
      <sz val="9"/>
      <name val="Noto Sans CJK SC"/>
    </font>
    <font>
      <b/>
      <charset val="1"/>
      <color rgb="FF1F3864"/>
      <family val="2"/>
      <sz val="15"/>
      <name val="Noto Sans CJK SC"/>
    </font>
    <font>
      <b/>
      <charset val="1"/>
      <color rgb="FFFFFFFF"/>
      <sz val="10"/>
      <name val="맑은 고딕"/>
    </font>
    <font>
      <b/>
      <charset val="1"/>
      <color rgb="FFFFFFFF"/>
      <family val="2"/>
      <sz val="10"/>
      <name val="Noto Sans CJK SC"/>
    </font>
    <font>
      <charset val="1"/>
      <color rgb="FF7F7F7F"/>
      <sz val="9"/>
      <name val="맑은 고딕"/>
    </font>
    <font>
      <b/>
      <charset val="1"/>
      <color rgb="FF1F3864"/>
      <family val="2"/>
      <sz val="13"/>
      <name val="Noto Sans CJK SC"/>
    </font>
    <font>
      <b/>
      <charset val="1"/>
      <sz val="9"/>
      <name val="맑은 고딕"/>
    </font>
    <font>
      <b/>
      <charset val="1"/>
      <family val="2"/>
      <sz val="11"/>
      <name val="Noto Sans CJK SC"/>
    </font>
    <font>
      <b/>
      <charset val="1"/>
      <color rgb="FF1F3864"/>
      <sz val="14"/>
      <name val="맑은 고딕"/>
    </font>
    <font>
      <charset val="1"/>
      <color rgb="FF7F7F7F"/>
      <family val="2"/>
      <sz val="9"/>
      <name val="Noto Sans CJK SC"/>
    </font>
    <font>
      <b/>
      <charset val="1"/>
      <color rgb="FF1F3864"/>
      <sz val="13"/>
      <name val="맑은 고딕"/>
    </font>
    <font>
      <b/>
      <family val="2"/>
      <sz val="10"/>
      <name val="Noto Sans CJK SC"/>
    </font>
    <font>
      <family val="2"/>
      <sz val="9"/>
      <name val="Noto Sans CJK SC"/>
    </font>
    <font>
      <b/>
      <charset val="1"/>
      <color rgb="FF1F3864"/>
      <family val="2"/>
      <sz val="12"/>
      <name val="Noto Sans CJK SC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bottom"/>
    </xf>
    <xf numFmtId="0" fontId="9" fillId="2" borderId="0" xfId="0" applyFont="1" applyFill="1" applyAlignment="1">
      <alignment vertical="bottom"/>
    </xf>
    <xf numFmtId="0" fontId="10" fillId="0" borderId="1" xfId="0" applyFont="1" applyBorder="1" applyAlignment="1">
      <alignment vertical="top" wrapText="1"/>
    </xf>
    <xf numFmtId="0" fontId="11" fillId="0" borderId="0" xfId="0" applyFont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left" vertical="bottom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bottom"/>
    </xf>
    <xf numFmtId="0" fontId="12" fillId="0" borderId="1" xfId="0" applyFont="1" applyBorder="1" applyAlignment="1">
      <alignment vertical="bottom"/>
    </xf>
    <xf numFmtId="4" fontId="6" fillId="4" borderId="1" xfId="0" applyNumberFormat="1" applyFont="1" applyFill="1" applyBorder="1" applyAlignment="1">
      <alignment vertical="bottom"/>
    </xf>
    <xf numFmtId="164" fontId="6" fillId="4" borderId="1" xfId="0" applyNumberFormat="1" applyFont="1" applyFill="1" applyBorder="1" applyAlignment="1">
      <alignment horizontal="left" vertical="bottom"/>
    </xf>
    <xf numFmtId="3" fontId="6" fillId="5" borderId="1" xfId="0" applyNumberFormat="1" applyFont="1" applyFill="1" applyBorder="1" applyAlignment="1">
      <alignment vertical="bottom"/>
    </xf>
    <xf numFmtId="0" fontId="14" fillId="4" borderId="1" xfId="0" applyFont="1" applyFill="1" applyBorder="1" applyAlignment="1">
      <alignment vertical="bottom"/>
    </xf>
    <xf numFmtId="164" fontId="6" fillId="6" borderId="1" xfId="0" applyNumberFormat="1" applyFont="1" applyFill="1" applyBorder="1" applyAlignment="1">
      <alignment horizontal="left" vertical="bottom"/>
    </xf>
    <xf numFmtId="3" fontId="6" fillId="4" borderId="1" xfId="0" applyNumberFormat="1" applyFont="1" applyFill="1" applyBorder="1" applyAlignment="1">
      <alignment horizontal="left" vertical="bottom"/>
    </xf>
    <xf numFmtId="0" fontId="15" fillId="3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5" fillId="3" borderId="1" xfId="0" applyFont="1" applyFill="1" applyBorder="1" applyAlignment="1">
      <alignment horizontal="left" vertical="bottom"/>
    </xf>
    <xf numFmtId="4" fontId="7" fillId="3" borderId="1" xfId="0" applyNumberFormat="1" applyFont="1" applyFill="1" applyBorder="1" applyAlignment="1">
      <alignment horizontal="center" vertical="bottom"/>
    </xf>
    <xf numFmtId="0" fontId="7" fillId="3" borderId="1" xfId="0" applyFont="1" applyFill="1" applyBorder="1" applyAlignment="1">
      <alignment horizontal="center" vertical="bottom"/>
    </xf>
    <xf numFmtId="3" fontId="7" fillId="3" borderId="1" xfId="0" applyNumberFormat="1" applyFont="1" applyFill="1" applyBorder="1" applyAlignment="1">
      <alignment horizontal="center" vertical="bottom"/>
    </xf>
    <xf numFmtId="165" fontId="7" fillId="3" borderId="1" xfId="0" applyNumberFormat="1" applyFont="1" applyFill="1" applyBorder="1" applyAlignment="1">
      <alignment horizontal="center" vertical="bottom"/>
    </xf>
    <xf numFmtId="166" fontId="7" fillId="3" borderId="1" xfId="0" applyNumberFormat="1" applyFont="1" applyFill="1" applyBorder="1" applyAlignment="1">
      <alignment horizontal="center" vertical="bottom"/>
    </xf>
    <xf numFmtId="0" fontId="1" fillId="3" borderId="0" xfId="0" applyFont="1" applyFill="1" applyAlignment="1">
      <alignment vertical="bottom"/>
    </xf>
    <xf numFmtId="0" fontId="18" fillId="7" borderId="1" xfId="0" applyFont="1" applyFill="1" applyBorder="1" applyAlignment="1">
      <alignment horizontal="center" vertical="bottom"/>
    </xf>
    <xf numFmtId="0" fontId="18" fillId="8" borderId="1" xfId="0" applyFont="1" applyFill="1" applyBorder="1" applyAlignment="1">
      <alignment horizontal="center" vertical="bottom"/>
    </xf>
    <xf numFmtId="0" fontId="18" fillId="5" borderId="1" xfId="0" applyFont="1" applyFill="1" applyBorder="1" applyAlignment="1">
      <alignment horizontal="center" vertical="bottom"/>
    </xf>
    <xf numFmtId="0" fontId="18" fillId="9" borderId="1" xfId="0" applyFont="1" applyFill="1" applyBorder="1" applyAlignment="1">
      <alignment horizontal="center" vertical="bottom"/>
    </xf>
    <xf numFmtId="0" fontId="19" fillId="10" borderId="1" xfId="0" applyFont="1" applyFill="1" applyBorder="1" applyAlignment="1">
      <alignment horizontal="center" vertical="bottom"/>
    </xf>
    <xf numFmtId="0" fontId="20" fillId="2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left" vertical="center"/>
    </xf>
    <xf numFmtId="49" fontId="21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3" fontId="14" fillId="6" borderId="1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4" fontId="14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bottom"/>
    </xf>
    <xf numFmtId="0" fontId="23" fillId="2" borderId="1" xfId="0" applyFont="1" applyFill="1" applyBorder="1" applyAlignment="1">
      <alignment horizontal="center" vertical="bottom"/>
    </xf>
    <xf numFmtId="0" fontId="24" fillId="2" borderId="1" xfId="0" applyFont="1" applyFill="1" applyBorder="1" applyAlignment="1">
      <alignment horizontal="center" vertical="bottom"/>
    </xf>
    <xf numFmtId="0" fontId="25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2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bottom"/>
    </xf>
    <xf numFmtId="0" fontId="26" fillId="0" borderId="0" xfId="0" applyFont="1" applyAlignment="1">
      <alignment vertical="bottom"/>
    </xf>
    <xf numFmtId="0" fontId="27" fillId="0" borderId="1" xfId="0" applyFont="1" applyBorder="1" applyAlignment="1">
      <alignment horizontal="center" vertical="bottom" wrapText="1"/>
    </xf>
    <xf numFmtId="0" fontId="5" fillId="6" borderId="1" xfId="0" applyFont="1" applyFill="1" applyBorder="1" applyAlignment="1">
      <alignment horizontal="center" vertical="bottom"/>
    </xf>
    <xf numFmtId="0" fontId="13" fillId="0" borderId="1" xfId="0" applyFont="1" applyBorder="1" applyAlignment="1">
      <alignment horizontal="center" vertical="bottom" wrapText="1"/>
    </xf>
    <xf numFmtId="0" fontId="28" fillId="0" borderId="0" xfId="0" applyFont="1" applyAlignment="1">
      <alignment vertical="bottom"/>
    </xf>
    <xf numFmtId="0" fontId="29" fillId="6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vertical="center" wrapText="1"/>
    </xf>
    <xf numFmtId="0" fontId="30" fillId="0" borderId="0" xfId="0" applyFont="1" applyAlignment="1">
      <alignment vertical="bottom"/>
    </xf>
    <xf numFmtId="0" fontId="31" fillId="0" borderId="0" xfId="0" applyFont="1" applyAlignment="1">
      <alignment vertical="bottom"/>
    </xf>
    <xf numFmtId="0" fontId="32" fillId="0" borderId="1" xfId="0" applyFont="1" applyBorder="1" applyAlignment="1">
      <alignment vertical="bottom"/>
    </xf>
    <xf numFmtId="0" fontId="10" fillId="6" borderId="1" xfId="0" applyFont="1" applyFill="1" applyBorder="1" applyAlignment="1">
      <alignment horizontal="center" vertical="bottom"/>
    </xf>
    <xf numFmtId="0" fontId="3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34" fillId="0" borderId="0" xfId="0" applyFont="1" applyAlignment="1">
      <alignment vertical="bottom"/>
    </xf>
    <xf numFmtId="0" fontId="27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7" fillId="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bottom"/>
    </xf>
    <xf numFmtId="0" fontId="3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6" style="1" customWidth="1"/>
    <col min="2" max="2" width="110" style="1" customWidth="1"/>
  </cols>
  <sheetData>
    <row r="1" ht="24" customHeight="1" spans="1:1" x14ac:dyDescent="0.25">
      <c r="A1" s="2" t="s">
        <v>0</v>
      </c>
    </row>
    <row r="3" ht="15" customHeight="1" spans="1:1" x14ac:dyDescent="0.25">
      <c r="A3" s="3" t="s">
        <v>1</v>
      </c>
    </row>
    <row r="5" ht="16.5" customHeight="1" spans="1:2" x14ac:dyDescent="0.25">
      <c r="A5" s="4" t="s">
        <v>2</v>
      </c>
      <c r="B5" s="4"/>
    </row>
    <row r="6" ht="30" customHeight="1" spans="1:2" x14ac:dyDescent="0.25">
      <c r="A6" s="5" t="s">
        <v>3</v>
      </c>
      <c r="B6" s="6" t="s">
        <v>4</v>
      </c>
    </row>
    <row r="7" ht="30" customHeight="1" spans="1:2" x14ac:dyDescent="0.25">
      <c r="A7" s="5" t="s">
        <v>5</v>
      </c>
      <c r="B7" s="6" t="s">
        <v>6</v>
      </c>
    </row>
    <row r="8" ht="30" customHeight="1" spans="1:2" x14ac:dyDescent="0.25">
      <c r="A8" s="5" t="s">
        <v>7</v>
      </c>
      <c r="B8" s="6" t="s">
        <v>8</v>
      </c>
    </row>
    <row r="9" ht="45" customHeight="1" spans="1:2" x14ac:dyDescent="0.25">
      <c r="A9" s="5" t="s">
        <v>9</v>
      </c>
      <c r="B9" s="7" t="s">
        <v>10</v>
      </c>
    </row>
    <row r="10" ht="30" customHeight="1" spans="1:2" x14ac:dyDescent="0.25">
      <c r="A10" s="5" t="s">
        <v>11</v>
      </c>
      <c r="B10" s="6" t="s">
        <v>12</v>
      </c>
    </row>
    <row r="11" ht="30" customHeight="1" spans="1:2" x14ac:dyDescent="0.25">
      <c r="A11" s="8" t="s">
        <v>13</v>
      </c>
      <c r="B11" s="7" t="s">
        <v>14</v>
      </c>
    </row>
    <row r="13" ht="15" customHeight="1" spans="1:2" x14ac:dyDescent="0.25">
      <c r="A13" s="4" t="s">
        <v>15</v>
      </c>
      <c r="B13" s="4"/>
    </row>
    <row r="14" ht="18" customHeight="1" spans="1:2" x14ac:dyDescent="0.25">
      <c r="A14" s="5" t="s">
        <v>16</v>
      </c>
      <c r="B14" s="6" t="s">
        <v>17</v>
      </c>
    </row>
    <row r="15" ht="18" customHeight="1" spans="1:2" x14ac:dyDescent="0.25">
      <c r="A15" s="5" t="s">
        <v>18</v>
      </c>
      <c r="B15" s="6" t="s">
        <v>19</v>
      </c>
    </row>
    <row r="16" ht="30" customHeight="1" spans="1:2" x14ac:dyDescent="0.25">
      <c r="A16" s="5" t="s">
        <v>20</v>
      </c>
      <c r="B16" s="6" t="s">
        <v>21</v>
      </c>
    </row>
    <row r="18" ht="16.5" customHeight="1" spans="1:2" x14ac:dyDescent="0.25">
      <c r="A18" s="4" t="s">
        <v>22</v>
      </c>
      <c r="B18" s="4"/>
    </row>
    <row r="19" ht="18" customHeight="1" spans="1:2" x14ac:dyDescent="0.25">
      <c r="A19" s="8" t="s">
        <v>23</v>
      </c>
      <c r="B19" s="6" t="s">
        <v>24</v>
      </c>
    </row>
    <row r="20" ht="18" customHeight="1" spans="1:2" x14ac:dyDescent="0.25">
      <c r="A20" s="8" t="s">
        <v>25</v>
      </c>
      <c r="B20" s="7" t="s">
        <v>26</v>
      </c>
    </row>
    <row r="21" ht="18" customHeight="1" spans="1:2" x14ac:dyDescent="0.25">
      <c r="A21" s="8" t="s">
        <v>27</v>
      </c>
      <c r="B21" s="7" t="s">
        <v>28</v>
      </c>
    </row>
    <row r="22" ht="18" customHeight="1" spans="1:2" x14ac:dyDescent="0.25">
      <c r="A22" s="5" t="s">
        <v>29</v>
      </c>
      <c r="B22" s="6" t="s">
        <v>30</v>
      </c>
    </row>
    <row r="24" ht="16.5" customHeight="1" spans="1:2" x14ac:dyDescent="0.25">
      <c r="A24" s="4" t="s">
        <v>31</v>
      </c>
      <c r="B24" s="4"/>
    </row>
    <row r="25" ht="30" customHeight="1" spans="1:2" x14ac:dyDescent="0.25">
      <c r="A25" s="5" t="s">
        <v>32</v>
      </c>
      <c r="B25" s="6" t="s">
        <v>33</v>
      </c>
    </row>
    <row r="26" ht="18" customHeight="1" spans="1:2" x14ac:dyDescent="0.25">
      <c r="A26" s="5" t="s">
        <v>34</v>
      </c>
      <c r="B26" s="6" t="s">
        <v>35</v>
      </c>
    </row>
    <row r="27" ht="30" customHeight="1" spans="1:2" x14ac:dyDescent="0.25">
      <c r="A27" s="5" t="s">
        <v>36</v>
      </c>
      <c r="B27" s="6" t="s">
        <v>37</v>
      </c>
    </row>
    <row r="28" ht="18" customHeight="1" spans="1:2" x14ac:dyDescent="0.25">
      <c r="A28" s="5" t="s">
        <v>38</v>
      </c>
      <c r="B28" s="6" t="s">
        <v>39</v>
      </c>
    </row>
    <row r="29" ht="30" customHeight="1" spans="1:2" x14ac:dyDescent="0.25">
      <c r="A29" s="8" t="s">
        <v>40</v>
      </c>
      <c r="B29" s="7" t="s">
        <v>41</v>
      </c>
    </row>
    <row r="30" ht="30" customHeight="1" spans="1:2" x14ac:dyDescent="0.25">
      <c r="A30" s="5" t="s">
        <v>42</v>
      </c>
      <c r="B30" s="6" t="s">
        <v>43</v>
      </c>
    </row>
    <row r="32" ht="16.5" customHeight="1" spans="1:2" x14ac:dyDescent="0.25">
      <c r="A32" s="4" t="s">
        <v>44</v>
      </c>
      <c r="B32" s="4"/>
    </row>
    <row r="33" ht="18" customHeight="1" spans="1:2" x14ac:dyDescent="0.25">
      <c r="A33" s="5" t="s">
        <v>45</v>
      </c>
      <c r="B33" s="6" t="s">
        <v>46</v>
      </c>
    </row>
    <row r="34" ht="18" customHeight="1" spans="1:2" x14ac:dyDescent="0.25">
      <c r="A34" s="5" t="s">
        <v>47</v>
      </c>
      <c r="B34" s="6" t="s">
        <v>48</v>
      </c>
    </row>
    <row r="35" ht="18" customHeight="1" spans="1:2" x14ac:dyDescent="0.25">
      <c r="A35" s="5" t="s">
        <v>49</v>
      </c>
      <c r="B35" s="6" t="s">
        <v>50</v>
      </c>
    </row>
    <row r="36" ht="18" customHeight="1" spans="1:2" x14ac:dyDescent="0.25">
      <c r="A36" s="5" t="s">
        <v>51</v>
      </c>
      <c r="B36" s="6" t="s">
        <v>52</v>
      </c>
    </row>
    <row r="37" ht="18" customHeight="1" spans="1:2" x14ac:dyDescent="0.25">
      <c r="A37" s="5" t="s">
        <v>53</v>
      </c>
      <c r="B37" s="6" t="s">
        <v>54</v>
      </c>
    </row>
    <row r="39" ht="16.5" customHeight="1" spans="1:2" x14ac:dyDescent="0.25">
      <c r="A39" s="4" t="s">
        <v>55</v>
      </c>
      <c r="B39" s="4"/>
    </row>
    <row r="40" ht="30" customHeight="1" spans="1:2" x14ac:dyDescent="0.25">
      <c r="A40" s="5" t="s">
        <v>56</v>
      </c>
      <c r="B40" s="6" t="s">
        <v>57</v>
      </c>
    </row>
    <row r="41" ht="30" customHeight="1" spans="1:2" x14ac:dyDescent="0.25">
      <c r="A41" s="5" t="s">
        <v>58</v>
      </c>
      <c r="B41" s="6" t="s">
        <v>59</v>
      </c>
    </row>
    <row r="42" ht="30" customHeight="1" spans="1:2" x14ac:dyDescent="0.25">
      <c r="A42" s="5" t="s">
        <v>60</v>
      </c>
      <c r="B42" s="6" t="s">
        <v>61</v>
      </c>
    </row>
    <row r="43" ht="18" customHeight="1" spans="1:2" x14ac:dyDescent="0.25">
      <c r="A43" s="5" t="s">
        <v>62</v>
      </c>
      <c r="B43" s="6" t="s">
        <v>63</v>
      </c>
    </row>
    <row r="45" ht="15" customHeight="1" spans="1:2" x14ac:dyDescent="0.25">
      <c r="A45" s="4" t="s">
        <v>64</v>
      </c>
      <c r="B45" s="4"/>
    </row>
    <row r="46" ht="18" customHeight="1" spans="1:2" x14ac:dyDescent="0.25">
      <c r="A46" s="5" t="s">
        <v>65</v>
      </c>
      <c r="B46" s="6" t="s">
        <v>66</v>
      </c>
    </row>
    <row r="47" ht="30" customHeight="1" spans="1:2" x14ac:dyDescent="0.25">
      <c r="A47" s="5" t="s">
        <v>67</v>
      </c>
      <c r="B47" s="6" t="s">
        <v>68</v>
      </c>
    </row>
    <row r="48" ht="18" customHeight="1" spans="1:2" x14ac:dyDescent="0.25">
      <c r="A48" s="5" t="s">
        <v>69</v>
      </c>
      <c r="B48" s="6" t="s">
        <v>70</v>
      </c>
    </row>
    <row r="49" ht="18" customHeight="1" spans="1:2" x14ac:dyDescent="0.25">
      <c r="A49" s="5" t="s">
        <v>71</v>
      </c>
      <c r="B49" s="6" t="s">
        <v>72</v>
      </c>
    </row>
    <row r="50" ht="18" customHeight="1" spans="1:2" x14ac:dyDescent="0.25">
      <c r="A50" s="5" t="s">
        <v>73</v>
      </c>
      <c r="B50" s="6" t="s">
        <v>74</v>
      </c>
    </row>
    <row r="51" ht="30" customHeight="1" spans="1:2" x14ac:dyDescent="0.25">
      <c r="A51" s="5" t="s">
        <v>75</v>
      </c>
      <c r="B51" s="7" t="s">
        <v>76</v>
      </c>
    </row>
    <row r="53" ht="16.5" customHeight="1" spans="1:2" x14ac:dyDescent="0.25">
      <c r="A53" s="4" t="s">
        <v>77</v>
      </c>
      <c r="B53" s="4"/>
    </row>
    <row r="54" ht="18" customHeight="1" spans="1:2" x14ac:dyDescent="0.25">
      <c r="A54" s="5" t="s">
        <v>78</v>
      </c>
      <c r="B54" s="7" t="s">
        <v>79</v>
      </c>
    </row>
    <row r="55" ht="30" customHeight="1" spans="1:2" x14ac:dyDescent="0.25">
      <c r="A55" s="5" t="s">
        <v>80</v>
      </c>
      <c r="B55" s="6" t="s">
        <v>81</v>
      </c>
    </row>
    <row r="56" ht="30" customHeight="1" spans="1:2" x14ac:dyDescent="0.25">
      <c r="A56" s="5" t="s">
        <v>82</v>
      </c>
      <c r="B56" s="6" t="s">
        <v>83</v>
      </c>
    </row>
    <row r="57" ht="30" customHeight="1" spans="1:2" x14ac:dyDescent="0.25">
      <c r="A57" s="5" t="s">
        <v>84</v>
      </c>
      <c r="B57" s="6" t="s">
        <v>85</v>
      </c>
    </row>
    <row r="59" ht="15" customHeight="1" spans="1:1" x14ac:dyDescent="0.25">
      <c r="A59" s="9" t="s">
        <v>86</v>
      </c>
    </row>
    <row r="61" ht="16.5" customHeight="1" spans="1:2" x14ac:dyDescent="0.25">
      <c r="A61" s="10" t="s">
        <v>87</v>
      </c>
      <c r="B61" s="10"/>
    </row>
    <row r="62" ht="30" customHeight="1" spans="1:2" x14ac:dyDescent="0.25">
      <c r="A62" s="5" t="s">
        <v>88</v>
      </c>
      <c r="B62" s="7" t="s">
        <v>89</v>
      </c>
    </row>
    <row r="63" ht="30" customHeight="1" spans="1:2" x14ac:dyDescent="0.25">
      <c r="A63" s="5" t="s">
        <v>90</v>
      </c>
      <c r="B63" s="6" t="s">
        <v>91</v>
      </c>
    </row>
    <row r="64" ht="30" customHeight="1" spans="1:2" x14ac:dyDescent="0.25">
      <c r="A64" s="5" t="s">
        <v>92</v>
      </c>
      <c r="B64" s="6" t="s">
        <v>93</v>
      </c>
    </row>
    <row r="65" ht="30" customHeight="1" spans="1:2" x14ac:dyDescent="0.25">
      <c r="A65" s="8" t="s">
        <v>94</v>
      </c>
      <c r="B65" s="6" t="s">
        <v>95</v>
      </c>
    </row>
    <row r="66" ht="30" customHeight="1" spans="1:2" x14ac:dyDescent="0.25">
      <c r="A66" s="5" t="s">
        <v>96</v>
      </c>
      <c r="B66" s="6" t="s">
        <v>97</v>
      </c>
    </row>
    <row r="67" ht="30" customHeight="1" spans="1:2" x14ac:dyDescent="0.25">
      <c r="A67" s="5" t="s">
        <v>98</v>
      </c>
      <c r="B67" s="6" t="s">
        <v>99</v>
      </c>
    </row>
    <row r="68" ht="30" customHeight="1" spans="1:2" x14ac:dyDescent="0.25">
      <c r="A68" s="5" t="s">
        <v>100</v>
      </c>
      <c r="B68" s="6" t="s">
        <v>101</v>
      </c>
    </row>
    <row r="69" ht="30" customHeight="1" spans="1:2" x14ac:dyDescent="0.25">
      <c r="A69" s="5" t="s">
        <v>102</v>
      </c>
      <c r="B69" s="6" t="s">
        <v>103</v>
      </c>
    </row>
    <row r="71" ht="17.15" customHeight="1" spans="1:2" x14ac:dyDescent="0.25">
      <c r="A71" s="10" t="s">
        <v>104</v>
      </c>
      <c r="B71" s="10"/>
    </row>
    <row r="72" ht="15" customHeight="1" spans="1:2" x14ac:dyDescent="0.25">
      <c r="A72" s="5" t="s">
        <v>105</v>
      </c>
      <c r="B72" s="11" t="s">
        <v>106</v>
      </c>
    </row>
    <row r="73" ht="29.85" customHeight="1" spans="1:2" x14ac:dyDescent="0.25">
      <c r="A73" s="5" t="s">
        <v>107</v>
      </c>
      <c r="B73" s="11" t="s">
        <v>108</v>
      </c>
    </row>
    <row r="74" ht="15" customHeight="1" spans="1:2" x14ac:dyDescent="0.25">
      <c r="A74" s="5" t="s">
        <v>109</v>
      </c>
      <c r="B74" s="11" t="s">
        <v>110</v>
      </c>
    </row>
    <row r="75" ht="15" customHeight="1" spans="1:2" x14ac:dyDescent="0.25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"/>
  <sheetViews>
    <sheetView workbookViewId="0" zoomScale="100" zoomScaleNormal="100" view="normal">
      <pane xSplit="1" ySplit="12" topLeftCell="B13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2" width="10" style="1" customWidth="1"/>
    <col min="3" max="4" width="12" style="1" customWidth="1"/>
    <col min="5" max="5" width="20" style="1" customWidth="1"/>
    <col min="6" max="6" width="10" style="1" customWidth="1"/>
    <col min="7" max="7" width="15" style="1" customWidth="1"/>
    <col min="8" max="8" width="16" style="1" customWidth="1"/>
    <col min="9" max="9" width="15" style="1" customWidth="1"/>
    <col min="10" max="12" width="13" style="1" customWidth="1"/>
    <col min="13" max="13" width="14" style="1" customWidth="1"/>
    <col min="14" max="14" width="13" style="1" customWidth="1"/>
    <col min="15" max="15" width="11" style="1" customWidth="1"/>
    <col min="16" max="16" width="24" style="1" customWidth="1"/>
    <col min="17" max="18" width="11" style="1" customWidth="1"/>
    <col min="19" max="19" width="10" style="1" customWidth="1"/>
    <col min="20" max="20" width="15" style="1" customWidth="1"/>
    <col min="21" max="21" width="18" style="1" customWidth="1"/>
    <col min="22" max="24" width="15" style="1" customWidth="1"/>
    <col min="25" max="25" width="17" style="1" customWidth="1"/>
    <col min="26" max="26" width="14" style="1" customWidth="1"/>
    <col min="27" max="27" width="12" style="1" customWidth="1"/>
    <col min="28" max="29" width="13" style="1" customWidth="1"/>
    <col min="30" max="30" width="14" style="1" customWidth="1"/>
    <col min="31" max="32" width="15" customWidth="1"/>
  </cols>
  <sheetData>
    <row r="1" ht="22.5" customHeight="1" spans="1:8" x14ac:dyDescent="0.25">
      <c r="A1" s="2" t="s">
        <v>113</v>
      </c>
      <c r="B1" s="2"/>
      <c r="C1" s="2"/>
      <c r="D1" s="2"/>
      <c r="E1" s="2"/>
      <c r="F1" s="2"/>
      <c r="G1" s="2"/>
      <c r="H1" s="2"/>
    </row>
    <row r="2" ht="15" customHeight="1" spans="1:15" x14ac:dyDescent="0.25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27" customHeight="1" spans="1:15" x14ac:dyDescent="0.25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>
        <v>11500000000</v>
      </c>
      <c r="K3" s="17"/>
      <c r="L3" s="18" t="s">
        <v>119</v>
      </c>
      <c r="M3" s="18"/>
      <c r="N3" s="18"/>
      <c r="O3" s="18"/>
    </row>
    <row r="4" ht="27" customHeight="1" spans="1:15" x14ac:dyDescent="0.25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>
        <v>1441.15</v>
      </c>
      <c r="K4" s="19"/>
      <c r="L4" s="18" t="s">
        <v>124</v>
      </c>
      <c r="M4" s="18"/>
      <c r="N4" s="18"/>
      <c r="O4" s="18"/>
    </row>
    <row r="5" ht="27" customHeight="1" spans="1:15" x14ac:dyDescent="0.25">
      <c r="A5" s="13" t="s">
        <v>125</v>
      </c>
      <c r="B5" s="13"/>
      <c r="C5" s="20">
        <v>45792</v>
      </c>
      <c r="D5" s="20"/>
      <c r="E5" s="20"/>
      <c r="F5" s="1"/>
      <c r="G5" s="1"/>
      <c r="H5" s="16" t="s">
        <v>126</v>
      </c>
      <c r="I5" s="16"/>
      <c r="J5" s="21">
        <v>450000</v>
      </c>
      <c r="K5" s="21"/>
      <c r="L5" s="18" t="s">
        <v>127</v>
      </c>
      <c r="M5" s="22" t="s">
        <v>128</v>
      </c>
      <c r="N5" s="22"/>
      <c r="O5" s="22"/>
    </row>
    <row r="6" ht="27" customHeight="1" spans="1:15" x14ac:dyDescent="0.25">
      <c r="A6" s="13" t="s">
        <v>88</v>
      </c>
      <c r="B6" s="13"/>
      <c r="C6" s="23">
        <f>IF(C5="",TODAY(),C5)</f>
      </c>
      <c r="D6" s="23"/>
      <c r="E6" s="23"/>
      <c r="F6" s="15" t="s">
        <v>129</v>
      </c>
      <c r="G6" s="15"/>
      <c r="H6" s="16" t="s">
        <v>130</v>
      </c>
      <c r="I6" s="16"/>
      <c r="J6" s="21">
        <v>240000</v>
      </c>
      <c r="K6" s="21"/>
      <c r="L6" s="18" t="s">
        <v>127</v>
      </c>
      <c r="M6" s="22" t="s">
        <v>128</v>
      </c>
      <c r="N6" s="22"/>
      <c r="O6" s="22"/>
    </row>
    <row r="7" ht="27" customHeight="1" spans="1:15" x14ac:dyDescent="0.25">
      <c r="A7" s="13" t="s">
        <v>131</v>
      </c>
      <c r="B7" s="13"/>
      <c r="C7" s="24">
        <v>900000000</v>
      </c>
      <c r="D7" s="24"/>
      <c r="E7" s="24"/>
      <c r="F7" s="15" t="s">
        <v>132</v>
      </c>
      <c r="G7" s="15"/>
      <c r="H7" s="16" t="s">
        <v>133</v>
      </c>
      <c r="I7" s="16"/>
      <c r="J7" s="21">
        <v>120000</v>
      </c>
      <c r="K7" s="21"/>
      <c r="L7" s="18" t="s">
        <v>127</v>
      </c>
      <c r="M7" s="22" t="s">
        <v>134</v>
      </c>
      <c r="N7" s="22"/>
      <c r="O7" s="22"/>
    </row>
    <row r="8" ht="27" customHeight="1" spans="1:15" x14ac:dyDescent="0.25">
      <c r="A8" s="13" t="s">
        <v>135</v>
      </c>
      <c r="B8" s="13"/>
      <c r="C8" s="14" t="s">
        <v>136</v>
      </c>
      <c r="D8" s="14"/>
      <c r="E8" s="14"/>
      <c r="F8" s="1"/>
      <c r="G8" s="1"/>
      <c r="H8" s="16" t="s">
        <v>137</v>
      </c>
      <c r="I8" s="16"/>
      <c r="J8" s="17">
        <v>600000</v>
      </c>
      <c r="K8" s="17"/>
      <c r="L8" s="18" t="s">
        <v>138</v>
      </c>
      <c r="M8" s="22" t="s">
        <v>139</v>
      </c>
      <c r="N8" s="22"/>
      <c r="O8" s="22"/>
    </row>
    <row r="9" ht="27" customHeight="1" spans="1:15" x14ac:dyDescent="0.25">
      <c r="A9" s="13" t="s">
        <v>140</v>
      </c>
      <c r="B9" s="13"/>
      <c r="C9" s="20">
        <v>45793</v>
      </c>
      <c r="D9" s="20"/>
      <c r="E9" s="20"/>
      <c r="F9" s="25" t="s">
        <v>141</v>
      </c>
      <c r="G9" s="26" t="s">
        <v>142</v>
      </c>
      <c r="H9" s="27" t="s">
        <v>143</v>
      </c>
      <c r="I9" s="27"/>
      <c r="J9" s="27"/>
      <c r="K9" s="27"/>
      <c r="L9" s="27"/>
      <c r="M9" s="27"/>
      <c r="N9" s="27"/>
      <c r="O9" s="27"/>
    </row>
    <row r="10" ht="15" customHeight="1" spans="1:32" x14ac:dyDescent="0.25">
      <c r="A10" s="28" t="s">
        <v>144</v>
      </c>
      <c r="B10" s="28"/>
      <c r="C10" s="29">
        <f>SUM(C13:C112)</f>
      </c>
      <c r="D10" s="29">
        <f>SUM(D13:D112)</f>
      </c>
      <c r="E10" s="30"/>
      <c r="F10" s="30"/>
      <c r="G10" s="31">
        <f>SUM(G13:G112)</f>
      </c>
      <c r="H10" s="31">
        <f>SUM(H13:H112)</f>
      </c>
      <c r="I10" s="31">
        <f>SUM(I13:I112)</f>
      </c>
      <c r="J10" s="30"/>
      <c r="K10" s="30"/>
      <c r="L10" s="30"/>
      <c r="M10" s="30"/>
      <c r="N10" s="30"/>
      <c r="O10" s="30"/>
      <c r="P10" s="30"/>
      <c r="Q10" s="32">
        <f>SUM(Q13:Q112)</f>
      </c>
      <c r="R10" s="32">
        <f>SUM(R13:R112)</f>
      </c>
      <c r="S10" s="33">
        <f>IFERROR(SUMIFS(D13:D112,C13:C112,"&gt;0",D13:D112,"&gt;0")/SUMIFS(C13:C112,C13:C112,"&gt;0",D13:D112,"&gt;0")*100,"")</f>
      </c>
      <c r="T10" s="30"/>
      <c r="U10" s="30"/>
      <c r="V10" s="30"/>
      <c r="W10" s="30"/>
      <c r="X10" s="31">
        <f>SUM(X13:X112)</f>
      </c>
      <c r="Y10" s="30"/>
      <c r="Z10" s="34"/>
      <c r="AE10" s="29">
        <f>SUM(AE13:AE112)</f>
      </c>
      <c r="AF10" s="29">
        <f>SUM(AF13:AF112)</f>
      </c>
    </row>
    <row r="11" ht="13.5" customHeight="1" spans="1:32" x14ac:dyDescent="0.25">
      <c r="A11" s="35" t="s">
        <v>145</v>
      </c>
      <c r="B11" s="36" t="s">
        <v>146</v>
      </c>
      <c r="C11" s="36" t="s">
        <v>146</v>
      </c>
      <c r="D11" s="36" t="s">
        <v>147</v>
      </c>
      <c r="E11" s="35" t="s">
        <v>145</v>
      </c>
      <c r="F11" s="36" t="s">
        <v>146</v>
      </c>
      <c r="G11" s="35" t="s">
        <v>145</v>
      </c>
      <c r="H11" s="35" t="s">
        <v>145</v>
      </c>
      <c r="I11" s="36" t="s">
        <v>146</v>
      </c>
      <c r="J11" s="37" t="s">
        <v>148</v>
      </c>
      <c r="K11" s="36" t="s">
        <v>146</v>
      </c>
      <c r="L11" s="35" t="s">
        <v>145</v>
      </c>
      <c r="M11" s="37" t="s">
        <v>148</v>
      </c>
      <c r="N11" s="37" t="s">
        <v>148</v>
      </c>
      <c r="O11" s="35" t="s">
        <v>145</v>
      </c>
      <c r="P11" s="38" t="s">
        <v>149</v>
      </c>
      <c r="Q11" s="39" t="s">
        <v>150</v>
      </c>
      <c r="R11" s="39" t="s">
        <v>150</v>
      </c>
      <c r="S11" s="39" t="s">
        <v>150</v>
      </c>
      <c r="T11" s="39" t="s">
        <v>150</v>
      </c>
      <c r="U11" s="39" t="s">
        <v>150</v>
      </c>
      <c r="V11" s="39" t="s">
        <v>150</v>
      </c>
      <c r="W11" s="39" t="s">
        <v>150</v>
      </c>
      <c r="X11" s="39" t="s">
        <v>150</v>
      </c>
      <c r="Y11" s="39" t="s">
        <v>150</v>
      </c>
      <c r="Z11" s="37" t="s">
        <v>151</v>
      </c>
      <c r="AA11" s="37" t="s">
        <v>151</v>
      </c>
      <c r="AB11" s="37" t="s">
        <v>151</v>
      </c>
      <c r="AC11" s="39" t="s">
        <v>150</v>
      </c>
      <c r="AD11" s="39" t="s">
        <v>150</v>
      </c>
      <c r="AE11" s="39" t="s">
        <v>150</v>
      </c>
      <c r="AF11" s="39" t="s">
        <v>150</v>
      </c>
    </row>
    <row r="12" ht="31.5" customHeight="1" spans="1:32" x14ac:dyDescent="0.25">
      <c r="A12" s="40" t="s">
        <v>45</v>
      </c>
      <c r="B12" s="40" t="s">
        <v>152</v>
      </c>
      <c r="C12" s="40">
        <f>"임대면적("&amp;$G$9&amp;")"</f>
      </c>
      <c r="D12" s="40">
        <f>"전용면적("&amp;$G$9&amp;")"</f>
      </c>
      <c r="E12" s="40" t="s">
        <v>47</v>
      </c>
      <c r="F12" s="40" t="s">
        <v>153</v>
      </c>
      <c r="G12" s="40" t="s">
        <v>154</v>
      </c>
      <c r="H12" s="40" t="s">
        <v>155</v>
      </c>
      <c r="I12" s="40" t="s">
        <v>156</v>
      </c>
      <c r="J12" s="40" t="s">
        <v>157</v>
      </c>
      <c r="K12" s="40" t="s">
        <v>158</v>
      </c>
      <c r="L12" s="40" t="s">
        <v>53</v>
      </c>
      <c r="M12" s="40" t="s">
        <v>159</v>
      </c>
      <c r="N12" s="40" t="s">
        <v>160</v>
      </c>
      <c r="O12" s="40" t="s">
        <v>49</v>
      </c>
      <c r="P12" s="40" t="s">
        <v>161</v>
      </c>
      <c r="Q12" s="40" t="s">
        <v>162</v>
      </c>
      <c r="R12" s="40" t="s">
        <v>163</v>
      </c>
      <c r="S12" s="40" t="s">
        <v>164</v>
      </c>
      <c r="T12" s="40" t="s">
        <v>165</v>
      </c>
      <c r="U12" s="40" t="s">
        <v>166</v>
      </c>
      <c r="V12" s="40" t="s">
        <v>167</v>
      </c>
      <c r="W12" s="40" t="s">
        <v>168</v>
      </c>
      <c r="X12" s="40" t="s">
        <v>169</v>
      </c>
      <c r="Y12" s="40" t="s">
        <v>170</v>
      </c>
      <c r="Z12" s="40" t="s">
        <v>171</v>
      </c>
      <c r="AA12" s="40" t="s">
        <v>172</v>
      </c>
      <c r="AB12" s="40" t="s">
        <v>173</v>
      </c>
      <c r="AC12" s="40" t="s">
        <v>174</v>
      </c>
      <c r="AD12" s="40" t="s">
        <v>175</v>
      </c>
      <c r="AE12" s="40" t="s">
        <v>176</v>
      </c>
      <c r="AF12" s="40" t="s">
        <v>177</v>
      </c>
    </row>
    <row r="13" ht="18" customHeight="1" spans="1:32" x14ac:dyDescent="0.25">
      <c r="A13" s="41" t="s">
        <v>178</v>
      </c>
      <c r="B13" s="41"/>
      <c r="C13" s="42">
        <v>317.22</v>
      </c>
      <c r="D13" s="42">
        <v>257.05</v>
      </c>
      <c r="E13" s="43" t="s">
        <v>179</v>
      </c>
      <c r="F13" s="44" t="s">
        <v>180</v>
      </c>
      <c r="G13" s="45"/>
      <c r="H13" s="45"/>
      <c r="I13" s="45"/>
      <c r="J13" s="46"/>
      <c r="K13" s="46"/>
      <c r="L13" s="46"/>
      <c r="M13" s="44"/>
      <c r="N13" s="44"/>
      <c r="O13" s="44" t="s">
        <v>181</v>
      </c>
      <c r="P13" s="43"/>
      <c r="Q13" s="47">
        <f>IF(OR($A13="",C13=""),"",AE13/3.305785)</f>
      </c>
      <c r="R13" s="47">
        <f>IF(OR($A13="",D13=""),"",AF13/3.305785)</f>
      </c>
      <c r="S13" s="48">
        <f>IF(OR($A13="",C13="",D13=""),"",IF(C13&gt;0,D13/C13*100,""))</f>
      </c>
      <c r="T13" s="49">
        <f>IF(OR($A13="",O13&lt;&gt;"임대중",F13&lt;&gt;"상가",G13=""),"",G13+H13*100)</f>
      </c>
      <c r="U13" s="50">
        <f>IF(T13="","",IF(T13&lt;=$C$7,"○ 전면적용","× 초과 (5%상한 미적용)"))</f>
      </c>
      <c r="V13" s="50">
        <f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</c>
      <c r="W13" s="50">
        <f>IF($A13="","",IF(O13="공실","공실",IF(O13="자가사용","자가사용",IF(L13="","만료일 없음",IF(L13&lt;$C$6,"만료 +"&amp;TEXT($C$6-L13,"0")&amp;"일",IF(L13-$C$6&lt;=30,"임박 "&amp;TEXT(L13-$C$6,"0")&amp;"일","유효"))))))</f>
      </c>
      <c r="X13" s="49">
        <f>IF(OR($A13="",O13&lt;&gt;"임대중"),"",IF(H13="",0,H13)+IF(I13="",0,I13))</f>
      </c>
      <c r="Y13" s="49">
        <f>IF(OR($A13="",O13&lt;&gt;"임대중",H13=""),"",IF(B13="",IF(D13="","",ROUND((H13+IF(I13="",0,I13))/(AF13/3.305785),0)),IF(COUNTIFS($B$13:$B$112,B13,$D$13:$D$112,"")&gt;0,"",ROUND((H13+IF(I13="",0,I13))/(SUMIFS($AF$13:$AF$112,$B$13:$B$112,B13)/3.305785),0))))</f>
      </c>
      <c r="Z13" s="44"/>
      <c r="AA13" s="51"/>
      <c r="AB13" s="44"/>
      <c r="AC13" s="50">
        <f>IF($A13="","",IF(O13="공실","공실",IF(O13="자가사용","자가사용",IF(L13="","만료일 없음",IF(L13&lt;$C$6,"만료 경과",IF(L13&lt;=EDATE($C$6,12),"12개월 내","12개월 초과"))))))</f>
      </c>
      <c r="AD13" s="50">
        <f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</c>
      <c r="AE13" s="52">
        <f>IF(OR($A13="",C13=""),"",ROUND(C13*IF($G$9="평",3.305785,1),2))</f>
      </c>
      <c r="AF13" s="52">
        <f>IF(OR($A13="",D13=""),"",ROUND(D13*IF($G$9="평",3.305785,1),2))</f>
      </c>
    </row>
    <row r="14" ht="18" customHeight="1" spans="1:32" x14ac:dyDescent="0.25">
      <c r="A14" s="41" t="s">
        <v>182</v>
      </c>
      <c r="B14" s="41"/>
      <c r="C14" s="42">
        <v>36.92</v>
      </c>
      <c r="D14" s="42">
        <v>31</v>
      </c>
      <c r="E14" s="43" t="s">
        <v>183</v>
      </c>
      <c r="F14" s="44" t="s">
        <v>180</v>
      </c>
      <c r="G14" s="45">
        <v>30000000</v>
      </c>
      <c r="H14" s="45">
        <v>1000000</v>
      </c>
      <c r="I14" s="45">
        <v>15000</v>
      </c>
      <c r="J14" s="46">
        <v>43160</v>
      </c>
      <c r="K14" s="46">
        <v>44986</v>
      </c>
      <c r="L14" s="46">
        <v>46081</v>
      </c>
      <c r="M14" s="44" t="s">
        <v>184</v>
      </c>
      <c r="N14" s="44" t="s">
        <v>185</v>
      </c>
      <c r="O14" s="44" t="s">
        <v>186</v>
      </c>
      <c r="P14" s="43"/>
      <c r="Q14" s="47">
        <f>IF(OR($A14="",C14=""),"",AE14/3.305785)</f>
      </c>
      <c r="R14" s="47">
        <f>IF(OR($A14="",D14=""),"",AF14/3.305785)</f>
      </c>
      <c r="S14" s="48">
        <f>IF(OR($A14="",C14="",D14=""),"",IF(C14&gt;0,D14/C14*100,""))</f>
      </c>
      <c r="T14" s="49">
        <f>IF(OR($A14="",O14&lt;&gt;"임대중",F14&lt;&gt;"상가",G14=""),"",G14+H14*100)</f>
      </c>
      <c r="U14" s="50">
        <f>IF(T14="","",IF(T14&lt;=$C$7,"○ 전면적용","× 초과 (5%상한 미적용)"))</f>
      </c>
      <c r="V14" s="50">
        <f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</c>
      <c r="W14" s="50">
        <f>IF($A14="","",IF(O14="공실","공실",IF(O14="자가사용","자가사용",IF(L14="","만료일 없음",IF(L14&lt;$C$6,"만료 +"&amp;TEXT($C$6-L14,"0")&amp;"일",IF(L14-$C$6&lt;=30,"임박 "&amp;TEXT(L14-$C$6,"0")&amp;"일","유효"))))))</f>
      </c>
      <c r="X14" s="49">
        <f>IF(OR($A14="",O14&lt;&gt;"임대중"),"",IF(H14="",0,H14)+IF(I14="",0,I14))</f>
      </c>
      <c r="Y14" s="49">
        <f>IF(OR($A14="",O14&lt;&gt;"임대중",H14=""),"",IF(B14="",IF(D14="","",ROUND((H14+IF(I14="",0,I14))/(AF14/3.305785),0)),IF(COUNTIFS($B$13:$B$112,B14,$D$13:$D$112,"")&gt;0,"",ROUND((H14+IF(I14="",0,I14))/(SUMIFS($AF$13:$AF$112,$B$13:$B$112,B14)/3.305785),0))))</f>
      </c>
      <c r="Z14" s="44" t="s">
        <v>187</v>
      </c>
      <c r="AA14" s="51">
        <v>0</v>
      </c>
      <c r="AB14" s="44" t="s">
        <v>188</v>
      </c>
      <c r="AC14" s="50">
        <f>IF($A14="","",IF(O14="공실","공실",IF(O14="자가사용","자가사용",IF(L14="","만료일 없음",IF(L14&lt;$C$6,"만료 경과",IF(L14&lt;=EDATE($C$6,12),"12개월 내","12개월 초과"))))))</f>
      </c>
      <c r="AD14" s="50">
        <f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</c>
      <c r="AE14" s="52">
        <f>IF(OR($A14="",C14=""),"",ROUND(C14*IF($G$9="평",3.305785,1),2))</f>
      </c>
      <c r="AF14" s="52">
        <f>IF(OR($A14="",D14=""),"",ROUND(D14*IF($G$9="평",3.305785,1),2))</f>
      </c>
    </row>
    <row r="15" ht="18" customHeight="1" spans="1:32" x14ac:dyDescent="0.25">
      <c r="A15" s="41" t="s">
        <v>182</v>
      </c>
      <c r="B15" s="41" t="s">
        <v>189</v>
      </c>
      <c r="C15" s="42">
        <v>105.7</v>
      </c>
      <c r="D15" s="42">
        <v>84</v>
      </c>
      <c r="E15" s="43" t="s">
        <v>190</v>
      </c>
      <c r="F15" s="44" t="s">
        <v>180</v>
      </c>
      <c r="G15" s="45">
        <v>150000000</v>
      </c>
      <c r="H15" s="45">
        <v>9000000</v>
      </c>
      <c r="I15" s="45">
        <v>730000</v>
      </c>
      <c r="J15" s="46">
        <v>41883</v>
      </c>
      <c r="K15" s="46">
        <v>45536</v>
      </c>
      <c r="L15" s="46">
        <v>46265</v>
      </c>
      <c r="M15" s="44" t="s">
        <v>184</v>
      </c>
      <c r="N15" s="44" t="s">
        <v>185</v>
      </c>
      <c r="O15" s="44" t="s">
        <v>186</v>
      </c>
      <c r="P15" s="43" t="s">
        <v>191</v>
      </c>
      <c r="Q15" s="47">
        <f>IF(OR($A15="",C15=""),"",AE15/3.305785)</f>
      </c>
      <c r="R15" s="47">
        <f>IF(OR($A15="",D15=""),"",AF15/3.305785)</f>
      </c>
      <c r="S15" s="48">
        <f>IF(OR($A15="",C15="",D15=""),"",IF(C15&gt;0,D15/C15*100,""))</f>
      </c>
      <c r="T15" s="49">
        <f>IF(OR($A15="",O15&lt;&gt;"임대중",F15&lt;&gt;"상가",G15=""),"",G15+H15*100)</f>
      </c>
      <c r="U15" s="50">
        <f>IF(T15="","",IF(T15&lt;=$C$7,"○ 전면적용","× 초과 (5%상한 미적용)"))</f>
      </c>
      <c r="V15" s="50">
        <f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</c>
      <c r="W15" s="50">
        <f>IF($A15="","",IF(O15="공실","공실",IF(O15="자가사용","자가사용",IF(L15="","만료일 없음",IF(L15&lt;$C$6,"만료 +"&amp;TEXT($C$6-L15,"0")&amp;"일",IF(L15-$C$6&lt;=30,"임박 "&amp;TEXT(L15-$C$6,"0")&amp;"일","유효"))))))</f>
      </c>
      <c r="X15" s="49">
        <f>IF(OR($A15="",O15&lt;&gt;"임대중"),"",IF(H15="",0,H15)+IF(I15="",0,I15))</f>
      </c>
      <c r="Y15" s="49">
        <f>IF(OR($A15="",O15&lt;&gt;"임대중",H15=""),"",IF(B15="",IF(D15="","",ROUND((H15+IF(I15="",0,I15))/(AF15/3.305785),0)),IF(COUNTIFS($B$13:$B$112,B15,$D$13:$D$112,"")&gt;0,"",ROUND((H15+IF(I15="",0,I15))/(SUMIFS($AF$13:$AF$112,$B$13:$B$112,B15)/3.305785),0))))</f>
      </c>
      <c r="Z15" s="44" t="s">
        <v>187</v>
      </c>
      <c r="AA15" s="51">
        <v>0</v>
      </c>
      <c r="AB15" s="44" t="s">
        <v>188</v>
      </c>
      <c r="AC15" s="50">
        <f>IF($A15="","",IF(O15="공실","공실",IF(O15="자가사용","자가사용",IF(L15="","만료일 없음",IF(L15&lt;$C$6,"만료 경과",IF(L15&lt;=EDATE($C$6,12),"12개월 내","12개월 초과"))))))</f>
      </c>
      <c r="AD15" s="50">
        <f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</c>
      <c r="AE15" s="52">
        <f>IF(OR($A15="",C15=""),"",ROUND(C15*IF($G$9="평",3.305785,1),2))</f>
      </c>
      <c r="AF15" s="52">
        <f>IF(OR($A15="",D15=""),"",ROUND(D15*IF($G$9="평",3.305785,1),2))</f>
      </c>
    </row>
    <row r="16" ht="18" customHeight="1" spans="1:32" x14ac:dyDescent="0.25">
      <c r="A16" s="41" t="s">
        <v>192</v>
      </c>
      <c r="B16" s="41" t="s">
        <v>189</v>
      </c>
      <c r="C16" s="42">
        <v>135.44</v>
      </c>
      <c r="D16" s="42">
        <v>113.19</v>
      </c>
      <c r="E16" s="43" t="s">
        <v>190</v>
      </c>
      <c r="F16" s="44" t="s">
        <v>180</v>
      </c>
      <c r="G16" s="45"/>
      <c r="H16" s="45"/>
      <c r="I16" s="45"/>
      <c r="J16" s="46">
        <v>41883</v>
      </c>
      <c r="K16" s="46">
        <v>45536</v>
      </c>
      <c r="L16" s="46">
        <v>46265</v>
      </c>
      <c r="M16" s="44" t="s">
        <v>184</v>
      </c>
      <c r="N16" s="44" t="s">
        <v>185</v>
      </c>
      <c r="O16" s="44" t="s">
        <v>186</v>
      </c>
      <c r="P16" s="43" t="s">
        <v>193</v>
      </c>
      <c r="Q16" s="47">
        <f>IF(OR($A16="",C16=""),"",AE16/3.305785)</f>
      </c>
      <c r="R16" s="47">
        <f>IF(OR($A16="",D16=""),"",AF16/3.305785)</f>
      </c>
      <c r="S16" s="48">
        <f>IF(OR($A16="",C16="",D16=""),"",IF(C16&gt;0,D16/C16*100,""))</f>
      </c>
      <c r="T16" s="49">
        <f>IF(OR($A16="",O16&lt;&gt;"임대중",F16&lt;&gt;"상가",G16=""),"",G16+H16*100)</f>
      </c>
      <c r="U16" s="50">
        <f>IF(T16="","",IF(T16&lt;=$C$7,"○ 전면적용","× 초과 (5%상한 미적용)"))</f>
      </c>
      <c r="V16" s="50">
        <f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</c>
      <c r="W16" s="50">
        <f>IF($A16="","",IF(O16="공실","공실",IF(O16="자가사용","자가사용",IF(L16="","만료일 없음",IF(L16&lt;$C$6,"만료 +"&amp;TEXT($C$6-L16,"0")&amp;"일",IF(L16-$C$6&lt;=30,"임박 "&amp;TEXT(L16-$C$6,"0")&amp;"일","유효"))))))</f>
      </c>
      <c r="X16" s="49">
        <f>IF(OR($A16="",O16&lt;&gt;"임대중"),"",IF(H16="",0,H16)+IF(I16="",0,I16))</f>
      </c>
      <c r="Y16" s="49">
        <f>IF(OR($A16="",O16&lt;&gt;"임대중",H16=""),"",IF(B16="",IF(D16="","",ROUND((H16+IF(I16="",0,I16))/(AF16/3.305785),0)),IF(COUNTIFS($B$13:$B$112,B16,$D$13:$D$112,"")&gt;0,"",ROUND((H16+IF(I16="",0,I16))/(SUMIFS($AF$13:$AF$112,$B$13:$B$112,B16)/3.305785),0))))</f>
      </c>
      <c r="Z16" s="44" t="s">
        <v>187</v>
      </c>
      <c r="AA16" s="51">
        <v>0</v>
      </c>
      <c r="AB16" s="44" t="s">
        <v>188</v>
      </c>
      <c r="AC16" s="50">
        <f>IF($A16="","",IF(O16="공실","공실",IF(O16="자가사용","자가사용",IF(L16="","만료일 없음",IF(L16&lt;$C$6,"만료 경과",IF(L16&lt;=EDATE($C$6,12),"12개월 내","12개월 초과"))))))</f>
      </c>
      <c r="AD16" s="50">
        <f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</c>
      <c r="AE16" s="52">
        <f>IF(OR($A16="",C16=""),"",ROUND(C16*IF($G$9="평",3.305785,1),2))</f>
      </c>
      <c r="AF16" s="52">
        <f>IF(OR($A16="",D16=""),"",ROUND(D16*IF($G$9="평",3.305785,1),2))</f>
      </c>
    </row>
    <row r="17" ht="18" customHeight="1" spans="1:32" x14ac:dyDescent="0.25">
      <c r="A17" s="41" t="s">
        <v>194</v>
      </c>
      <c r="B17" s="41"/>
      <c r="C17" s="42">
        <v>335.23</v>
      </c>
      <c r="D17" s="42">
        <v>282.57</v>
      </c>
      <c r="E17" s="43" t="s">
        <v>195</v>
      </c>
      <c r="F17" s="44" t="s">
        <v>180</v>
      </c>
      <c r="G17" s="45">
        <v>60000000</v>
      </c>
      <c r="H17" s="45">
        <v>5260000</v>
      </c>
      <c r="I17" s="45">
        <v>300000</v>
      </c>
      <c r="J17" s="46">
        <v>44669</v>
      </c>
      <c r="K17" s="46">
        <v>45400</v>
      </c>
      <c r="L17" s="46">
        <v>46129</v>
      </c>
      <c r="M17" s="44" t="s">
        <v>196</v>
      </c>
      <c r="N17" s="44" t="s">
        <v>185</v>
      </c>
      <c r="O17" s="44" t="s">
        <v>186</v>
      </c>
      <c r="P17" s="43"/>
      <c r="Q17" s="47">
        <f>IF(OR($A17="",C17=""),"",AE17/3.305785)</f>
      </c>
      <c r="R17" s="47">
        <f>IF(OR($A17="",D17=""),"",AF17/3.305785)</f>
      </c>
      <c r="S17" s="48">
        <f>IF(OR($A17="",C17="",D17=""),"",IF(C17&gt;0,D17/C17*100,""))</f>
      </c>
      <c r="T17" s="49">
        <f>IF(OR($A17="",O17&lt;&gt;"임대중",F17&lt;&gt;"상가",G17=""),"",G17+H17*100)</f>
      </c>
      <c r="U17" s="50">
        <f>IF(T17="","",IF(T17&lt;=$C$7,"○ 전면적용","× 초과 (5%상한 미적용)"))</f>
      </c>
      <c r="V17" s="50">
        <f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</c>
      <c r="W17" s="50">
        <f>IF($A17="","",IF(O17="공실","공실",IF(O17="자가사용","자가사용",IF(L17="","만료일 없음",IF(L17&lt;$C$6,"만료 +"&amp;TEXT($C$6-L17,"0")&amp;"일",IF(L17-$C$6&lt;=30,"임박 "&amp;TEXT(L17-$C$6,"0")&amp;"일","유효"))))))</f>
      </c>
      <c r="X17" s="49">
        <f>IF(OR($A17="",O17&lt;&gt;"임대중"),"",IF(H17="",0,H17)+IF(I17="",0,I17))</f>
      </c>
      <c r="Y17" s="49">
        <f>IF(OR($A17="",O17&lt;&gt;"임대중",H17=""),"",IF(B17="",IF(D17="","",ROUND((H17+IF(I17="",0,I17))/(AF17/3.305785),0)),IF(COUNTIFS($B$13:$B$112,B17,$D$13:$D$112,"")&gt;0,"",ROUND((H17+IF(I17="",0,I17))/(SUMIFS($AF$13:$AF$112,$B$13:$B$112,B17)/3.305785),0))))</f>
      </c>
      <c r="Z17" s="44" t="s">
        <v>197</v>
      </c>
      <c r="AA17" s="51">
        <v>2</v>
      </c>
      <c r="AB17" s="44" t="s">
        <v>188</v>
      </c>
      <c r="AC17" s="50">
        <f>IF($A17="","",IF(O17="공실","공실",IF(O17="자가사용","자가사용",IF(L17="","만료일 없음",IF(L17&lt;$C$6,"만료 경과",IF(L17&lt;=EDATE($C$6,12),"12개월 내","12개월 초과"))))))</f>
      </c>
      <c r="AD17" s="50">
        <f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</c>
      <c r="AE17" s="52">
        <f>IF(OR($A17="",C17=""),"",ROUND(C17*IF($G$9="평",3.305785,1),2))</f>
      </c>
      <c r="AF17" s="52">
        <f>IF(OR($A17="",D17=""),"",ROUND(D17*IF($G$9="평",3.305785,1),2))</f>
      </c>
    </row>
    <row r="18" ht="18" customHeight="1" spans="1:32" x14ac:dyDescent="0.25">
      <c r="A18" s="41" t="s">
        <v>198</v>
      </c>
      <c r="B18" s="41"/>
      <c r="C18" s="42">
        <v>289.13</v>
      </c>
      <c r="D18" s="42">
        <v>229.34</v>
      </c>
      <c r="E18" s="43" t="s">
        <v>199</v>
      </c>
      <c r="F18" s="44" t="s">
        <v>180</v>
      </c>
      <c r="G18" s="45">
        <v>50000000</v>
      </c>
      <c r="H18" s="45">
        <v>4200000</v>
      </c>
      <c r="I18" s="45">
        <v>250000</v>
      </c>
      <c r="J18" s="46">
        <v>43952</v>
      </c>
      <c r="K18" s="46">
        <v>45047</v>
      </c>
      <c r="L18" s="46">
        <v>45777</v>
      </c>
      <c r="M18" s="44" t="s">
        <v>184</v>
      </c>
      <c r="N18" s="44" t="s">
        <v>185</v>
      </c>
      <c r="O18" s="44" t="s">
        <v>186</v>
      </c>
      <c r="P18" s="43"/>
      <c r="Q18" s="47">
        <f>IF(OR($A18="",C18=""),"",AE18/3.305785)</f>
      </c>
      <c r="R18" s="47">
        <f>IF(OR($A18="",D18=""),"",AF18/3.305785)</f>
      </c>
      <c r="S18" s="48">
        <f>IF(OR($A18="",C18="",D18=""),"",IF(C18&gt;0,D18/C18*100,""))</f>
      </c>
      <c r="T18" s="49">
        <f>IF(OR($A18="",O18&lt;&gt;"임대중",F18&lt;&gt;"상가",G18=""),"",G18+H18*100)</f>
      </c>
      <c r="U18" s="50">
        <f>IF(T18="","",IF(T18&lt;=$C$7,"○ 전면적용","× 초과 (5%상한 미적용)"))</f>
      </c>
      <c r="V18" s="50">
        <f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</c>
      <c r="W18" s="50">
        <f>IF($A18="","",IF(O18="공실","공실",IF(O18="자가사용","자가사용",IF(L18="","만료일 없음",IF(L18&lt;$C$6,"만료 +"&amp;TEXT($C$6-L18,"0")&amp;"일",IF(L18-$C$6&lt;=30,"임박 "&amp;TEXT(L18-$C$6,"0")&amp;"일","유효"))))))</f>
      </c>
      <c r="X18" s="49">
        <f>IF(OR($A18="",O18&lt;&gt;"임대중"),"",IF(H18="",0,H18)+IF(I18="",0,I18))</f>
      </c>
      <c r="Y18" s="49">
        <f>IF(OR($A18="",O18&lt;&gt;"임대중",H18=""),"",IF(B18="",IF(D18="","",ROUND((H18+IF(I18="",0,I18))/(AF18/3.305785),0)),IF(COUNTIFS($B$13:$B$112,B18,$D$13:$D$112,"")&gt;0,"",ROUND((H18+IF(I18="",0,I18))/(SUMIFS($AF$13:$AF$112,$B$13:$B$112,B18)/3.305785),0))))</f>
      </c>
      <c r="Z18" s="44" t="s">
        <v>200</v>
      </c>
      <c r="AA18" s="51">
        <v>0</v>
      </c>
      <c r="AB18" s="44" t="s">
        <v>201</v>
      </c>
      <c r="AC18" s="50">
        <f>IF($A18="","",IF(O18="공실","공실",IF(O18="자가사용","자가사용",IF(L18="","만료일 없음",IF(L18&lt;$C$6,"만료 경과",IF(L18&lt;=EDATE($C$6,12),"12개월 내","12개월 초과"))))))</f>
      </c>
      <c r="AD18" s="50">
        <f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</c>
      <c r="AE18" s="52">
        <f>IF(OR($A18="",C18=""),"",ROUND(C18*IF($G$9="평",3.305785,1),2))</f>
      </c>
      <c r="AF18" s="52">
        <f>IF(OR($A18="",D18=""),"",ROUND(D18*IF($G$9="평",3.305785,1),2))</f>
      </c>
    </row>
    <row r="19" ht="18" customHeight="1" spans="1:32" x14ac:dyDescent="0.25">
      <c r="A19" s="41" t="s">
        <v>198</v>
      </c>
      <c r="B19" s="41"/>
      <c r="C19" s="42">
        <v>109.64</v>
      </c>
      <c r="D19" s="42">
        <v>86.04</v>
      </c>
      <c r="E19" s="43" t="s">
        <v>202</v>
      </c>
      <c r="F19" s="44" t="s">
        <v>180</v>
      </c>
      <c r="G19" s="45"/>
      <c r="H19" s="45"/>
      <c r="I19" s="45"/>
      <c r="J19" s="46"/>
      <c r="K19" s="46"/>
      <c r="L19" s="46"/>
      <c r="M19" s="44"/>
      <c r="N19" s="44"/>
      <c r="O19" s="44" t="s">
        <v>181</v>
      </c>
      <c r="P19" s="43"/>
      <c r="Q19" s="47">
        <f>IF(OR($A19="",C19=""),"",AE19/3.305785)</f>
      </c>
      <c r="R19" s="47">
        <f>IF(OR($A19="",D19=""),"",AF19/3.305785)</f>
      </c>
      <c r="S19" s="48">
        <f>IF(OR($A19="",C19="",D19=""),"",IF(C19&gt;0,D19/C19*100,""))</f>
      </c>
      <c r="T19" s="49">
        <f>IF(OR($A19="",O19&lt;&gt;"임대중",F19&lt;&gt;"상가",G19=""),"",G19+H19*100)</f>
      </c>
      <c r="U19" s="50">
        <f>IF(T19="","",IF(T19&lt;=$C$7,"○ 전면적용","× 초과 (5%상한 미적용)"))</f>
      </c>
      <c r="V19" s="50">
        <f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</c>
      <c r="W19" s="50">
        <f>IF($A19="","",IF(O19="공실","공실",IF(O19="자가사용","자가사용",IF(L19="","만료일 없음",IF(L19&lt;$C$6,"만료 +"&amp;TEXT($C$6-L19,"0")&amp;"일",IF(L19-$C$6&lt;=30,"임박 "&amp;TEXT(L19-$C$6,"0")&amp;"일","유효"))))))</f>
      </c>
      <c r="X19" s="49">
        <f>IF(OR($A19="",O19&lt;&gt;"임대중"),"",IF(H19="",0,H19)+IF(I19="",0,I19))</f>
      </c>
      <c r="Y19" s="49">
        <f>IF(OR($A19="",O19&lt;&gt;"임대중",H19=""),"",IF(B19="",IF(D19="","",ROUND((H19+IF(I19="",0,I19))/(AF19/3.305785),0)),IF(COUNTIFS($B$13:$B$112,B19,$D$13:$D$112,"")&gt;0,"",ROUND((H19+IF(I19="",0,I19))/(SUMIFS($AF$13:$AF$112,$B$13:$B$112,B19)/3.305785),0))))</f>
      </c>
      <c r="Z19" s="44"/>
      <c r="AA19" s="51"/>
      <c r="AB19" s="44"/>
      <c r="AC19" s="50">
        <f>IF($A19="","",IF(O19="공실","공실",IF(O19="자가사용","자가사용",IF(L19="","만료일 없음",IF(L19&lt;$C$6,"만료 경과",IF(L19&lt;=EDATE($C$6,12),"12개월 내","12개월 초과"))))))</f>
      </c>
      <c r="AD19" s="50">
        <f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</c>
      <c r="AE19" s="52">
        <f>IF(OR($A19="",C19=""),"",ROUND(C19*IF($G$9="평",3.305785,1),2))</f>
      </c>
      <c r="AF19" s="52">
        <f>IF(OR($A19="",D19=""),"",ROUND(D19*IF($G$9="평",3.305785,1),2))</f>
      </c>
    </row>
    <row r="20" ht="18" customHeight="1" spans="1:32" x14ac:dyDescent="0.25">
      <c r="A20" s="41" t="s">
        <v>203</v>
      </c>
      <c r="B20" s="41" t="s">
        <v>189</v>
      </c>
      <c r="C20" s="42">
        <v>111.87</v>
      </c>
      <c r="D20" s="42">
        <v>91.81</v>
      </c>
      <c r="E20" s="43" t="s">
        <v>190</v>
      </c>
      <c r="F20" s="44" t="s">
        <v>180</v>
      </c>
      <c r="G20" s="45"/>
      <c r="H20" s="45"/>
      <c r="I20" s="45"/>
      <c r="J20" s="46">
        <v>41883</v>
      </c>
      <c r="K20" s="46">
        <v>45536</v>
      </c>
      <c r="L20" s="46">
        <v>46265</v>
      </c>
      <c r="M20" s="44" t="s">
        <v>184</v>
      </c>
      <c r="N20" s="44" t="s">
        <v>185</v>
      </c>
      <c r="O20" s="44" t="s">
        <v>186</v>
      </c>
      <c r="P20" s="43" t="s">
        <v>193</v>
      </c>
      <c r="Q20" s="47">
        <f>IF(OR($A20="",C20=""),"",AE20/3.305785)</f>
      </c>
      <c r="R20" s="47">
        <f>IF(OR($A20="",D20=""),"",AF20/3.305785)</f>
      </c>
      <c r="S20" s="48">
        <f>IF(OR($A20="",C20="",D20=""),"",IF(C20&gt;0,D20/C20*100,""))</f>
      </c>
      <c r="T20" s="49">
        <f>IF(OR($A20="",O20&lt;&gt;"임대중",F20&lt;&gt;"상가",G20=""),"",G20+H20*100)</f>
      </c>
      <c r="U20" s="50">
        <f>IF(T20="","",IF(T20&lt;=$C$7,"○ 전면적용","× 초과 (5%상한 미적용)"))</f>
      </c>
      <c r="V20" s="50">
        <f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</c>
      <c r="W20" s="50">
        <f>IF($A20="","",IF(O20="공실","공실",IF(O20="자가사용","자가사용",IF(L20="","만료일 없음",IF(L20&lt;$C$6,"만료 +"&amp;TEXT($C$6-L20,"0")&amp;"일",IF(L20-$C$6&lt;=30,"임박 "&amp;TEXT(L20-$C$6,"0")&amp;"일","유효"))))))</f>
      </c>
      <c r="X20" s="49">
        <f>IF(OR($A20="",O20&lt;&gt;"임대중"),"",IF(H20="",0,H20)+IF(I20="",0,I20))</f>
      </c>
      <c r="Y20" s="49">
        <f>IF(OR($A20="",O20&lt;&gt;"임대중",H20=""),"",IF(B20="",IF(D20="","",ROUND((H20+IF(I20="",0,I20))/(AF20/3.305785),0)),IF(COUNTIFS($B$13:$B$112,B20,$D$13:$D$112,"")&gt;0,"",ROUND((H20+IF(I20="",0,I20))/(SUMIFS($AF$13:$AF$112,$B$13:$B$112,B20)/3.305785),0))))</f>
      </c>
      <c r="Z20" s="44" t="s">
        <v>187</v>
      </c>
      <c r="AA20" s="51">
        <v>0</v>
      </c>
      <c r="AB20" s="44" t="s">
        <v>188</v>
      </c>
      <c r="AC20" s="50">
        <f>IF($A20="","",IF(O20="공실","공실",IF(O20="자가사용","자가사용",IF(L20="","만료일 없음",IF(L20&lt;$C$6,"만료 경과",IF(L20&lt;=EDATE($C$6,12),"12개월 내","12개월 초과"))))))</f>
      </c>
      <c r="AD20" s="50">
        <f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</c>
      <c r="AE20" s="52">
        <f>IF(OR($A20="",C20=""),"",ROUND(C20*IF($G$9="평",3.305785,1),2))</f>
      </c>
      <c r="AF20" s="52">
        <f>IF(OR($A20="",D20=""),"",ROUND(D20*IF($G$9="평",3.305785,1),2))</f>
      </c>
    </row>
    <row r="21" ht="18" customHeight="1" spans="1:32" x14ac:dyDescent="0.25">
      <c r="A21" s="41"/>
      <c r="B21" s="41"/>
      <c r="C21" s="42"/>
      <c r="D21" s="42"/>
      <c r="E21" s="43"/>
      <c r="F21" s="44"/>
      <c r="G21" s="45"/>
      <c r="H21" s="45"/>
      <c r="I21" s="45"/>
      <c r="J21" s="46"/>
      <c r="K21" s="46"/>
      <c r="L21" s="46"/>
      <c r="M21" s="44"/>
      <c r="N21" s="44"/>
      <c r="O21" s="44"/>
      <c r="P21" s="43"/>
      <c r="Q21" s="47">
        <f>IF(OR($A21="",C21=""),"",AE21/3.305785)</f>
      </c>
      <c r="R21" s="47">
        <f>IF(OR($A21="",D21=""),"",AF21/3.305785)</f>
      </c>
      <c r="S21" s="48">
        <f>IF(OR($A21="",C21="",D21=""),"",IF(C21&gt;0,D21/C21*100,""))</f>
      </c>
      <c r="T21" s="49">
        <f>IF(OR($A21="",O21&lt;&gt;"임대중",F21&lt;&gt;"상가",G21=""),"",G21+H21*100)</f>
      </c>
      <c r="U21" s="50">
        <f>IF(T21="","",IF(T21&lt;=$C$7,"○ 전면적용","× 초과 (5%상한 미적용)"))</f>
      </c>
      <c r="V21" s="50">
        <f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</c>
      <c r="W21" s="50">
        <f>IF($A21="","",IF(O21="공실","공실",IF(O21="자가사용","자가사용",IF(L21="","만료일 없음",IF(L21&lt;$C$6,"만료 +"&amp;TEXT($C$6-L21,"0")&amp;"일",IF(L21-$C$6&lt;=30,"임박 "&amp;TEXT(L21-$C$6,"0")&amp;"일","유효"))))))</f>
      </c>
      <c r="X21" s="49">
        <f>IF(OR($A21="",O21&lt;&gt;"임대중"),"",IF(H21="",0,H21)+IF(I21="",0,I21))</f>
      </c>
      <c r="Y21" s="49">
        <f>IF(OR($A21="",O21&lt;&gt;"임대중",H21=""),"",IF(B21="",IF(D21="","",ROUND((H21+IF(I21="",0,I21))/(AF21/3.305785),0)),IF(COUNTIFS($B$13:$B$112,B21,$D$13:$D$112,"")&gt;0,"",ROUND((H21+IF(I21="",0,I21))/(SUMIFS($AF$13:$AF$112,$B$13:$B$112,B21)/3.305785),0))))</f>
      </c>
      <c r="Z21" s="44"/>
      <c r="AA21" s="51"/>
      <c r="AB21" s="44"/>
      <c r="AC21" s="50">
        <f>IF($A21="","",IF(O21="공실","공실",IF(O21="자가사용","자가사용",IF(L21="","만료일 없음",IF(L21&lt;$C$6,"만료 경과",IF(L21&lt;=EDATE($C$6,12),"12개월 내","12개월 초과"))))))</f>
      </c>
      <c r="AD21" s="50">
        <f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</c>
      <c r="AE21" s="52">
        <f>IF(OR($A21="",C21=""),"",ROUND(C21*IF($G$9="평",3.305785,1),2))</f>
      </c>
      <c r="AF21" s="52">
        <f>IF(OR($A21="",D21=""),"",ROUND(D21*IF($G$9="평",3.305785,1),2))</f>
      </c>
    </row>
    <row r="22" ht="18" customHeight="1" spans="1:32" x14ac:dyDescent="0.25">
      <c r="A22" s="41"/>
      <c r="B22" s="41"/>
      <c r="C22" s="42"/>
      <c r="D22" s="42"/>
      <c r="E22" s="43"/>
      <c r="F22" s="44"/>
      <c r="G22" s="45"/>
      <c r="H22" s="45"/>
      <c r="I22" s="45"/>
      <c r="J22" s="46"/>
      <c r="K22" s="46"/>
      <c r="L22" s="46"/>
      <c r="M22" s="44"/>
      <c r="N22" s="44"/>
      <c r="O22" s="44"/>
      <c r="P22" s="43"/>
      <c r="Q22" s="47">
        <f>IF(OR($A22="",C22=""),"",AE22/3.305785)</f>
      </c>
      <c r="R22" s="47">
        <f>IF(OR($A22="",D22=""),"",AF22/3.305785)</f>
      </c>
      <c r="S22" s="48">
        <f>IF(OR($A22="",C22="",D22=""),"",IF(C22&gt;0,D22/C22*100,""))</f>
      </c>
      <c r="T22" s="49">
        <f>IF(OR($A22="",O22&lt;&gt;"임대중",F22&lt;&gt;"상가",G22=""),"",G22+H22*100)</f>
      </c>
      <c r="U22" s="50">
        <f>IF(T22="","",IF(T22&lt;=$C$7,"○ 전면적용","× 초과 (5%상한 미적용)"))</f>
      </c>
      <c r="V22" s="50">
        <f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</c>
      <c r="W22" s="50">
        <f>IF($A22="","",IF(O22="공실","공실",IF(O22="자가사용","자가사용",IF(L22="","만료일 없음",IF(L22&lt;$C$6,"만료 +"&amp;TEXT($C$6-L22,"0")&amp;"일",IF(L22-$C$6&lt;=30,"임박 "&amp;TEXT(L22-$C$6,"0")&amp;"일","유효"))))))</f>
      </c>
      <c r="X22" s="49">
        <f>IF(OR($A22="",O22&lt;&gt;"임대중"),"",IF(H22="",0,H22)+IF(I22="",0,I22))</f>
      </c>
      <c r="Y22" s="49">
        <f>IF(OR($A22="",O22&lt;&gt;"임대중",H22=""),"",IF(B22="",IF(D22="","",ROUND((H22+IF(I22="",0,I22))/(AF22/3.305785),0)),IF(COUNTIFS($B$13:$B$112,B22,$D$13:$D$112,"")&gt;0,"",ROUND((H22+IF(I22="",0,I22))/(SUMIFS($AF$13:$AF$112,$B$13:$B$112,B22)/3.305785),0))))</f>
      </c>
      <c r="Z22" s="44"/>
      <c r="AA22" s="51"/>
      <c r="AB22" s="44"/>
      <c r="AC22" s="50">
        <f>IF($A22="","",IF(O22="공실","공실",IF(O22="자가사용","자가사용",IF(L22="","만료일 없음",IF(L22&lt;$C$6,"만료 경과",IF(L22&lt;=EDATE($C$6,12),"12개월 내","12개월 초과"))))))</f>
      </c>
      <c r="AD22" s="50">
        <f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</c>
      <c r="AE22" s="52">
        <f>IF(OR($A22="",C22=""),"",ROUND(C22*IF($G$9="평",3.305785,1),2))</f>
      </c>
      <c r="AF22" s="52">
        <f>IF(OR($A22="",D22=""),"",ROUND(D22*IF($G$9="평",3.305785,1),2))</f>
      </c>
    </row>
    <row r="23" ht="18" customHeight="1" spans="1:32" x14ac:dyDescent="0.25">
      <c r="A23" s="41"/>
      <c r="B23" s="41"/>
      <c r="C23" s="42"/>
      <c r="D23" s="42"/>
      <c r="E23" s="43"/>
      <c r="F23" s="44"/>
      <c r="G23" s="45"/>
      <c r="H23" s="45"/>
      <c r="I23" s="45"/>
      <c r="J23" s="46"/>
      <c r="K23" s="46"/>
      <c r="L23" s="46"/>
      <c r="M23" s="44"/>
      <c r="N23" s="44"/>
      <c r="O23" s="44"/>
      <c r="P23" s="43"/>
      <c r="Q23" s="47">
        <f>IF(OR($A23="",C23=""),"",AE23/3.305785)</f>
      </c>
      <c r="R23" s="47">
        <f>IF(OR($A23="",D23=""),"",AF23/3.305785)</f>
      </c>
      <c r="S23" s="48">
        <f>IF(OR($A23="",C23="",D23=""),"",IF(C23&gt;0,D23/C23*100,""))</f>
      </c>
      <c r="T23" s="49">
        <f>IF(OR($A23="",O23&lt;&gt;"임대중",F23&lt;&gt;"상가",G23=""),"",G23+H23*100)</f>
      </c>
      <c r="U23" s="50">
        <f>IF(T23="","",IF(T23&lt;=$C$7,"○ 전면적용","× 초과 (5%상한 미적용)"))</f>
      </c>
      <c r="V23" s="50">
        <f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</c>
      <c r="W23" s="50">
        <f>IF($A23="","",IF(O23="공실","공실",IF(O23="자가사용","자가사용",IF(L23="","만료일 없음",IF(L23&lt;$C$6,"만료 +"&amp;TEXT($C$6-L23,"0")&amp;"일",IF(L23-$C$6&lt;=30,"임박 "&amp;TEXT(L23-$C$6,"0")&amp;"일","유효"))))))</f>
      </c>
      <c r="X23" s="49">
        <f>IF(OR($A23="",O23&lt;&gt;"임대중"),"",IF(H23="",0,H23)+IF(I23="",0,I23))</f>
      </c>
      <c r="Y23" s="49">
        <f>IF(OR($A23="",O23&lt;&gt;"임대중",H23=""),"",IF(B23="",IF(D23="","",ROUND((H23+IF(I23="",0,I23))/(AF23/3.305785),0)),IF(COUNTIFS($B$13:$B$112,B23,$D$13:$D$112,"")&gt;0,"",ROUND((H23+IF(I23="",0,I23))/(SUMIFS($AF$13:$AF$112,$B$13:$B$112,B23)/3.305785),0))))</f>
      </c>
      <c r="Z23" s="44"/>
      <c r="AA23" s="51"/>
      <c r="AB23" s="44"/>
      <c r="AC23" s="50">
        <f>IF($A23="","",IF(O23="공실","공실",IF(O23="자가사용","자가사용",IF(L23="","만료일 없음",IF(L23&lt;$C$6,"만료 경과",IF(L23&lt;=EDATE($C$6,12),"12개월 내","12개월 초과"))))))</f>
      </c>
      <c r="AD23" s="50">
        <f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</c>
      <c r="AE23" s="52">
        <f>IF(OR($A23="",C23=""),"",ROUND(C23*IF($G$9="평",3.305785,1),2))</f>
      </c>
      <c r="AF23" s="52">
        <f>IF(OR($A23="",D23=""),"",ROUND(D23*IF($G$9="평",3.305785,1),2))</f>
      </c>
    </row>
    <row r="24" ht="18" customHeight="1" spans="1:32" x14ac:dyDescent="0.25">
      <c r="A24" s="41"/>
      <c r="B24" s="41"/>
      <c r="C24" s="42"/>
      <c r="D24" s="42"/>
      <c r="E24" s="43"/>
      <c r="F24" s="44"/>
      <c r="G24" s="45"/>
      <c r="H24" s="45"/>
      <c r="I24" s="45"/>
      <c r="J24" s="46"/>
      <c r="K24" s="46"/>
      <c r="L24" s="46"/>
      <c r="M24" s="44"/>
      <c r="N24" s="44"/>
      <c r="O24" s="44"/>
      <c r="P24" s="43"/>
      <c r="Q24" s="47">
        <f>IF(OR($A24="",C24=""),"",AE24/3.305785)</f>
      </c>
      <c r="R24" s="47">
        <f>IF(OR($A24="",D24=""),"",AF24/3.305785)</f>
      </c>
      <c r="S24" s="48">
        <f>IF(OR($A24="",C24="",D24=""),"",IF(C24&gt;0,D24/C24*100,""))</f>
      </c>
      <c r="T24" s="49">
        <f>IF(OR($A24="",O24&lt;&gt;"임대중",F24&lt;&gt;"상가",G24=""),"",G24+H24*100)</f>
      </c>
      <c r="U24" s="50">
        <f>IF(T24="","",IF(T24&lt;=$C$7,"○ 전면적용","× 초과 (5%상한 미적용)"))</f>
      </c>
      <c r="V24" s="50">
        <f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</c>
      <c r="W24" s="50">
        <f>IF($A24="","",IF(O24="공실","공실",IF(O24="자가사용","자가사용",IF(L24="","만료일 없음",IF(L24&lt;$C$6,"만료 +"&amp;TEXT($C$6-L24,"0")&amp;"일",IF(L24-$C$6&lt;=30,"임박 "&amp;TEXT(L24-$C$6,"0")&amp;"일","유효"))))))</f>
      </c>
      <c r="X24" s="49">
        <f>IF(OR($A24="",O24&lt;&gt;"임대중"),"",IF(H24="",0,H24)+IF(I24="",0,I24))</f>
      </c>
      <c r="Y24" s="49">
        <f>IF(OR($A24="",O24&lt;&gt;"임대중",H24=""),"",IF(B24="",IF(D24="","",ROUND((H24+IF(I24="",0,I24))/(AF24/3.305785),0)),IF(COUNTIFS($B$13:$B$112,B24,$D$13:$D$112,"")&gt;0,"",ROUND((H24+IF(I24="",0,I24))/(SUMIFS($AF$13:$AF$112,$B$13:$B$112,B24)/3.305785),0))))</f>
      </c>
      <c r="Z24" s="44"/>
      <c r="AA24" s="51"/>
      <c r="AB24" s="44"/>
      <c r="AC24" s="50">
        <f>IF($A24="","",IF(O24="공실","공실",IF(O24="자가사용","자가사용",IF(L24="","만료일 없음",IF(L24&lt;$C$6,"만료 경과",IF(L24&lt;=EDATE($C$6,12),"12개월 내","12개월 초과"))))))</f>
      </c>
      <c r="AD24" s="50">
        <f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</c>
      <c r="AE24" s="52">
        <f>IF(OR($A24="",C24=""),"",ROUND(C24*IF($G$9="평",3.305785,1),2))</f>
      </c>
      <c r="AF24" s="52">
        <f>IF(OR($A24="",D24=""),"",ROUND(D24*IF($G$9="평",3.305785,1),2))</f>
      </c>
    </row>
    <row r="25" ht="18" customHeight="1" spans="1:32" x14ac:dyDescent="0.25">
      <c r="A25" s="41"/>
      <c r="B25" s="41"/>
      <c r="C25" s="42"/>
      <c r="D25" s="42"/>
      <c r="E25" s="43"/>
      <c r="F25" s="44"/>
      <c r="G25" s="45"/>
      <c r="H25" s="45"/>
      <c r="I25" s="45"/>
      <c r="J25" s="46"/>
      <c r="K25" s="46"/>
      <c r="L25" s="46"/>
      <c r="M25" s="44"/>
      <c r="N25" s="44"/>
      <c r="O25" s="44"/>
      <c r="P25" s="43"/>
      <c r="Q25" s="47">
        <f>IF(OR($A25="",C25=""),"",AE25/3.305785)</f>
      </c>
      <c r="R25" s="47">
        <f>IF(OR($A25="",D25=""),"",AF25/3.305785)</f>
      </c>
      <c r="S25" s="48">
        <f>IF(OR($A25="",C25="",D25=""),"",IF(C25&gt;0,D25/C25*100,""))</f>
      </c>
      <c r="T25" s="49">
        <f>IF(OR($A25="",O25&lt;&gt;"임대중",F25&lt;&gt;"상가",G25=""),"",G25+H25*100)</f>
      </c>
      <c r="U25" s="50">
        <f>IF(T25="","",IF(T25&lt;=$C$7,"○ 전면적용","× 초과 (5%상한 미적용)"))</f>
      </c>
      <c r="V25" s="50">
        <f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</c>
      <c r="W25" s="50">
        <f>IF($A25="","",IF(O25="공실","공실",IF(O25="자가사용","자가사용",IF(L25="","만료일 없음",IF(L25&lt;$C$6,"만료 +"&amp;TEXT($C$6-L25,"0")&amp;"일",IF(L25-$C$6&lt;=30,"임박 "&amp;TEXT(L25-$C$6,"0")&amp;"일","유효"))))))</f>
      </c>
      <c r="X25" s="49">
        <f>IF(OR($A25="",O25&lt;&gt;"임대중"),"",IF(H25="",0,H25)+IF(I25="",0,I25))</f>
      </c>
      <c r="Y25" s="49">
        <f>IF(OR($A25="",O25&lt;&gt;"임대중",H25=""),"",IF(B25="",IF(D25="","",ROUND((H25+IF(I25="",0,I25))/(AF25/3.305785),0)),IF(COUNTIFS($B$13:$B$112,B25,$D$13:$D$112,"")&gt;0,"",ROUND((H25+IF(I25="",0,I25))/(SUMIFS($AF$13:$AF$112,$B$13:$B$112,B25)/3.305785),0))))</f>
      </c>
      <c r="Z25" s="44"/>
      <c r="AA25" s="51"/>
      <c r="AB25" s="44"/>
      <c r="AC25" s="50">
        <f>IF($A25="","",IF(O25="공실","공실",IF(O25="자가사용","자가사용",IF(L25="","만료일 없음",IF(L25&lt;$C$6,"만료 경과",IF(L25&lt;=EDATE($C$6,12),"12개월 내","12개월 초과"))))))</f>
      </c>
      <c r="AD25" s="50">
        <f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</c>
      <c r="AE25" s="52">
        <f>IF(OR($A25="",C25=""),"",ROUND(C25*IF($G$9="평",3.305785,1),2))</f>
      </c>
      <c r="AF25" s="52">
        <f>IF(OR($A25="",D25=""),"",ROUND(D25*IF($G$9="평",3.305785,1),2))</f>
      </c>
    </row>
    <row r="26" ht="18" customHeight="1" spans="1:32" x14ac:dyDescent="0.25">
      <c r="A26" s="41"/>
      <c r="B26" s="41"/>
      <c r="C26" s="42"/>
      <c r="D26" s="42"/>
      <c r="E26" s="43"/>
      <c r="F26" s="44"/>
      <c r="G26" s="45"/>
      <c r="H26" s="45"/>
      <c r="I26" s="45"/>
      <c r="J26" s="46"/>
      <c r="K26" s="46"/>
      <c r="L26" s="46"/>
      <c r="M26" s="44"/>
      <c r="N26" s="44"/>
      <c r="O26" s="44"/>
      <c r="P26" s="43"/>
      <c r="Q26" s="47">
        <f>IF(OR($A26="",C26=""),"",AE26/3.305785)</f>
      </c>
      <c r="R26" s="47">
        <f>IF(OR($A26="",D26=""),"",AF26/3.305785)</f>
      </c>
      <c r="S26" s="48">
        <f>IF(OR($A26="",C26="",D26=""),"",IF(C26&gt;0,D26/C26*100,""))</f>
      </c>
      <c r="T26" s="49">
        <f>IF(OR($A26="",O26&lt;&gt;"임대중",F26&lt;&gt;"상가",G26=""),"",G26+H26*100)</f>
      </c>
      <c r="U26" s="50">
        <f>IF(T26="","",IF(T26&lt;=$C$7,"○ 전면적용","× 초과 (5%상한 미적용)"))</f>
      </c>
      <c r="V26" s="50">
        <f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</c>
      <c r="W26" s="50">
        <f>IF($A26="","",IF(O26="공실","공실",IF(O26="자가사용","자가사용",IF(L26="","만료일 없음",IF(L26&lt;$C$6,"만료 +"&amp;TEXT($C$6-L26,"0")&amp;"일",IF(L26-$C$6&lt;=30,"임박 "&amp;TEXT(L26-$C$6,"0")&amp;"일","유효"))))))</f>
      </c>
      <c r="X26" s="49">
        <f>IF(OR($A26="",O26&lt;&gt;"임대중"),"",IF(H26="",0,H26)+IF(I26="",0,I26))</f>
      </c>
      <c r="Y26" s="49">
        <f>IF(OR($A26="",O26&lt;&gt;"임대중",H26=""),"",IF(B26="",IF(D26="","",ROUND((H26+IF(I26="",0,I26))/(AF26/3.305785),0)),IF(COUNTIFS($B$13:$B$112,B26,$D$13:$D$112,"")&gt;0,"",ROUND((H26+IF(I26="",0,I26))/(SUMIFS($AF$13:$AF$112,$B$13:$B$112,B26)/3.305785),0))))</f>
      </c>
      <c r="Z26" s="44"/>
      <c r="AA26" s="51"/>
      <c r="AB26" s="44"/>
      <c r="AC26" s="50">
        <f>IF($A26="","",IF(O26="공실","공실",IF(O26="자가사용","자가사용",IF(L26="","만료일 없음",IF(L26&lt;$C$6,"만료 경과",IF(L26&lt;=EDATE($C$6,12),"12개월 내","12개월 초과"))))))</f>
      </c>
      <c r="AD26" s="50">
        <f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</c>
      <c r="AE26" s="52">
        <f>IF(OR($A26="",C26=""),"",ROUND(C26*IF($G$9="평",3.305785,1),2))</f>
      </c>
      <c r="AF26" s="52">
        <f>IF(OR($A26="",D26=""),"",ROUND(D26*IF($G$9="평",3.305785,1),2))</f>
      </c>
    </row>
    <row r="27" ht="18" customHeight="1" spans="1:32" x14ac:dyDescent="0.25">
      <c r="A27" s="41"/>
      <c r="B27" s="41"/>
      <c r="C27" s="42"/>
      <c r="D27" s="42"/>
      <c r="E27" s="43"/>
      <c r="F27" s="44"/>
      <c r="G27" s="45"/>
      <c r="H27" s="45"/>
      <c r="I27" s="45"/>
      <c r="J27" s="46"/>
      <c r="K27" s="46"/>
      <c r="L27" s="46"/>
      <c r="M27" s="44"/>
      <c r="N27" s="44"/>
      <c r="O27" s="44"/>
      <c r="P27" s="43"/>
      <c r="Q27" s="47">
        <f>IF(OR($A27="",C27=""),"",AE27/3.305785)</f>
      </c>
      <c r="R27" s="47">
        <f>IF(OR($A27="",D27=""),"",AF27/3.305785)</f>
      </c>
      <c r="S27" s="48">
        <f>IF(OR($A27="",C27="",D27=""),"",IF(C27&gt;0,D27/C27*100,""))</f>
      </c>
      <c r="T27" s="49">
        <f>IF(OR($A27="",O27&lt;&gt;"임대중",F27&lt;&gt;"상가",G27=""),"",G27+H27*100)</f>
      </c>
      <c r="U27" s="50">
        <f>IF(T27="","",IF(T27&lt;=$C$7,"○ 전면적용","× 초과 (5%상한 미적용)"))</f>
      </c>
      <c r="V27" s="50">
        <f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</c>
      <c r="W27" s="50">
        <f>IF($A27="","",IF(O27="공실","공실",IF(O27="자가사용","자가사용",IF(L27="","만료일 없음",IF(L27&lt;$C$6,"만료 +"&amp;TEXT($C$6-L27,"0")&amp;"일",IF(L27-$C$6&lt;=30,"임박 "&amp;TEXT(L27-$C$6,"0")&amp;"일","유효"))))))</f>
      </c>
      <c r="X27" s="49">
        <f>IF(OR($A27="",O27&lt;&gt;"임대중"),"",IF(H27="",0,H27)+IF(I27="",0,I27))</f>
      </c>
      <c r="Y27" s="49">
        <f>IF(OR($A27="",O27&lt;&gt;"임대중",H27=""),"",IF(B27="",IF(D27="","",ROUND((H27+IF(I27="",0,I27))/(AF27/3.305785),0)),IF(COUNTIFS($B$13:$B$112,B27,$D$13:$D$112,"")&gt;0,"",ROUND((H27+IF(I27="",0,I27))/(SUMIFS($AF$13:$AF$112,$B$13:$B$112,B27)/3.305785),0))))</f>
      </c>
      <c r="Z27" s="44"/>
      <c r="AA27" s="51"/>
      <c r="AB27" s="44"/>
      <c r="AC27" s="50">
        <f>IF($A27="","",IF(O27="공실","공실",IF(O27="자가사용","자가사용",IF(L27="","만료일 없음",IF(L27&lt;$C$6,"만료 경과",IF(L27&lt;=EDATE($C$6,12),"12개월 내","12개월 초과"))))))</f>
      </c>
      <c r="AD27" s="50">
        <f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</c>
      <c r="AE27" s="52">
        <f>IF(OR($A27="",C27=""),"",ROUND(C27*IF($G$9="평",3.305785,1),2))</f>
      </c>
      <c r="AF27" s="52">
        <f>IF(OR($A27="",D27=""),"",ROUND(D27*IF($G$9="평",3.305785,1),2))</f>
      </c>
    </row>
    <row r="28" ht="18" customHeight="1" spans="1:32" x14ac:dyDescent="0.25">
      <c r="A28" s="41"/>
      <c r="B28" s="41"/>
      <c r="C28" s="42"/>
      <c r="D28" s="42"/>
      <c r="E28" s="43"/>
      <c r="F28" s="44"/>
      <c r="G28" s="45"/>
      <c r="H28" s="45"/>
      <c r="I28" s="45"/>
      <c r="J28" s="46"/>
      <c r="K28" s="46"/>
      <c r="L28" s="46"/>
      <c r="M28" s="44"/>
      <c r="N28" s="44"/>
      <c r="O28" s="44"/>
      <c r="P28" s="43"/>
      <c r="Q28" s="47">
        <f>IF(OR($A28="",C28=""),"",AE28/3.305785)</f>
      </c>
      <c r="R28" s="47">
        <f>IF(OR($A28="",D28=""),"",AF28/3.305785)</f>
      </c>
      <c r="S28" s="48">
        <f>IF(OR($A28="",C28="",D28=""),"",IF(C28&gt;0,D28/C28*100,""))</f>
      </c>
      <c r="T28" s="49">
        <f>IF(OR($A28="",O28&lt;&gt;"임대중",F28&lt;&gt;"상가",G28=""),"",G28+H28*100)</f>
      </c>
      <c r="U28" s="50">
        <f>IF(T28="","",IF(T28&lt;=$C$7,"○ 전면적용","× 초과 (5%상한 미적용)"))</f>
      </c>
      <c r="V28" s="50">
        <f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</c>
      <c r="W28" s="50">
        <f>IF($A28="","",IF(O28="공실","공실",IF(O28="자가사용","자가사용",IF(L28="","만료일 없음",IF(L28&lt;$C$6,"만료 +"&amp;TEXT($C$6-L28,"0")&amp;"일",IF(L28-$C$6&lt;=30,"임박 "&amp;TEXT(L28-$C$6,"0")&amp;"일","유효"))))))</f>
      </c>
      <c r="X28" s="49">
        <f>IF(OR($A28="",O28&lt;&gt;"임대중"),"",IF(H28="",0,H28)+IF(I28="",0,I28))</f>
      </c>
      <c r="Y28" s="49">
        <f>IF(OR($A28="",O28&lt;&gt;"임대중",H28=""),"",IF(B28="",IF(D28="","",ROUND((H28+IF(I28="",0,I28))/(AF28/3.305785),0)),IF(COUNTIFS($B$13:$B$112,B28,$D$13:$D$112,"")&gt;0,"",ROUND((H28+IF(I28="",0,I28))/(SUMIFS($AF$13:$AF$112,$B$13:$B$112,B28)/3.305785),0))))</f>
      </c>
      <c r="Z28" s="44"/>
      <c r="AA28" s="51"/>
      <c r="AB28" s="44"/>
      <c r="AC28" s="50">
        <f>IF($A28="","",IF(O28="공실","공실",IF(O28="자가사용","자가사용",IF(L28="","만료일 없음",IF(L28&lt;$C$6,"만료 경과",IF(L28&lt;=EDATE($C$6,12),"12개월 내","12개월 초과"))))))</f>
      </c>
      <c r="AD28" s="50">
        <f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</c>
      <c r="AE28" s="52">
        <f>IF(OR($A28="",C28=""),"",ROUND(C28*IF($G$9="평",3.305785,1),2))</f>
      </c>
      <c r="AF28" s="52">
        <f>IF(OR($A28="",D28=""),"",ROUND(D28*IF($G$9="평",3.305785,1),2))</f>
      </c>
    </row>
    <row r="29" ht="18" customHeight="1" spans="1:32" x14ac:dyDescent="0.25">
      <c r="A29" s="41"/>
      <c r="B29" s="41"/>
      <c r="C29" s="42"/>
      <c r="D29" s="42"/>
      <c r="E29" s="43"/>
      <c r="F29" s="44"/>
      <c r="G29" s="45"/>
      <c r="H29" s="45"/>
      <c r="I29" s="45"/>
      <c r="J29" s="46"/>
      <c r="K29" s="46"/>
      <c r="L29" s="46"/>
      <c r="M29" s="44"/>
      <c r="N29" s="44"/>
      <c r="O29" s="44"/>
      <c r="P29" s="43"/>
      <c r="Q29" s="47">
        <f>IF(OR($A29="",C29=""),"",AE29/3.305785)</f>
      </c>
      <c r="R29" s="47">
        <f>IF(OR($A29="",D29=""),"",AF29/3.305785)</f>
      </c>
      <c r="S29" s="48">
        <f>IF(OR($A29="",C29="",D29=""),"",IF(C29&gt;0,D29/C29*100,""))</f>
      </c>
      <c r="T29" s="49">
        <f>IF(OR($A29="",O29&lt;&gt;"임대중",F29&lt;&gt;"상가",G29=""),"",G29+H29*100)</f>
      </c>
      <c r="U29" s="50">
        <f>IF(T29="","",IF(T29&lt;=$C$7,"○ 전면적용","× 초과 (5%상한 미적용)"))</f>
      </c>
      <c r="V29" s="50">
        <f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</c>
      <c r="W29" s="50">
        <f>IF($A29="","",IF(O29="공실","공실",IF(O29="자가사용","자가사용",IF(L29="","만료일 없음",IF(L29&lt;$C$6,"만료 +"&amp;TEXT($C$6-L29,"0")&amp;"일",IF(L29-$C$6&lt;=30,"임박 "&amp;TEXT(L29-$C$6,"0")&amp;"일","유효"))))))</f>
      </c>
      <c r="X29" s="49">
        <f>IF(OR($A29="",O29&lt;&gt;"임대중"),"",IF(H29="",0,H29)+IF(I29="",0,I29))</f>
      </c>
      <c r="Y29" s="49">
        <f>IF(OR($A29="",O29&lt;&gt;"임대중",H29=""),"",IF(B29="",IF(D29="","",ROUND((H29+IF(I29="",0,I29))/(AF29/3.305785),0)),IF(COUNTIFS($B$13:$B$112,B29,$D$13:$D$112,"")&gt;0,"",ROUND((H29+IF(I29="",0,I29))/(SUMIFS($AF$13:$AF$112,$B$13:$B$112,B29)/3.305785),0))))</f>
      </c>
      <c r="Z29" s="44"/>
      <c r="AA29" s="51"/>
      <c r="AB29" s="44"/>
      <c r="AC29" s="50">
        <f>IF($A29="","",IF(O29="공실","공실",IF(O29="자가사용","자가사용",IF(L29="","만료일 없음",IF(L29&lt;$C$6,"만료 경과",IF(L29&lt;=EDATE($C$6,12),"12개월 내","12개월 초과"))))))</f>
      </c>
      <c r="AD29" s="50">
        <f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</c>
      <c r="AE29" s="52">
        <f>IF(OR($A29="",C29=""),"",ROUND(C29*IF($G$9="평",3.305785,1),2))</f>
      </c>
      <c r="AF29" s="52">
        <f>IF(OR($A29="",D29=""),"",ROUND(D29*IF($G$9="평",3.305785,1),2))</f>
      </c>
    </row>
    <row r="30" ht="18" customHeight="1" spans="1:32" x14ac:dyDescent="0.25">
      <c r="A30" s="41"/>
      <c r="B30" s="41"/>
      <c r="C30" s="42"/>
      <c r="D30" s="42"/>
      <c r="E30" s="43"/>
      <c r="F30" s="44"/>
      <c r="G30" s="45"/>
      <c r="H30" s="45"/>
      <c r="I30" s="45"/>
      <c r="J30" s="46"/>
      <c r="K30" s="46"/>
      <c r="L30" s="46"/>
      <c r="M30" s="44"/>
      <c r="N30" s="44"/>
      <c r="O30" s="44"/>
      <c r="P30" s="43"/>
      <c r="Q30" s="47">
        <f>IF(OR($A30="",C30=""),"",AE30/3.305785)</f>
      </c>
      <c r="R30" s="47">
        <f>IF(OR($A30="",D30=""),"",AF30/3.305785)</f>
      </c>
      <c r="S30" s="48">
        <f>IF(OR($A30="",C30="",D30=""),"",IF(C30&gt;0,D30/C30*100,""))</f>
      </c>
      <c r="T30" s="49">
        <f>IF(OR($A30="",O30&lt;&gt;"임대중",F30&lt;&gt;"상가",G30=""),"",G30+H30*100)</f>
      </c>
      <c r="U30" s="50">
        <f>IF(T30="","",IF(T30&lt;=$C$7,"○ 전면적용","× 초과 (5%상한 미적용)"))</f>
      </c>
      <c r="V30" s="50">
        <f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</c>
      <c r="W30" s="50">
        <f>IF($A30="","",IF(O30="공실","공실",IF(O30="자가사용","자가사용",IF(L30="","만료일 없음",IF(L30&lt;$C$6,"만료 +"&amp;TEXT($C$6-L30,"0")&amp;"일",IF(L30-$C$6&lt;=30,"임박 "&amp;TEXT(L30-$C$6,"0")&amp;"일","유효"))))))</f>
      </c>
      <c r="X30" s="49">
        <f>IF(OR($A30="",O30&lt;&gt;"임대중"),"",IF(H30="",0,H30)+IF(I30="",0,I30))</f>
      </c>
      <c r="Y30" s="49">
        <f>IF(OR($A30="",O30&lt;&gt;"임대중",H30=""),"",IF(B30="",IF(D30="","",ROUND((H30+IF(I30="",0,I30))/(AF30/3.305785),0)),IF(COUNTIFS($B$13:$B$112,B30,$D$13:$D$112,"")&gt;0,"",ROUND((H30+IF(I30="",0,I30))/(SUMIFS($AF$13:$AF$112,$B$13:$B$112,B30)/3.305785),0))))</f>
      </c>
      <c r="Z30" s="44"/>
      <c r="AA30" s="51"/>
      <c r="AB30" s="44"/>
      <c r="AC30" s="50">
        <f>IF($A30="","",IF(O30="공실","공실",IF(O30="자가사용","자가사용",IF(L30="","만료일 없음",IF(L30&lt;$C$6,"만료 경과",IF(L30&lt;=EDATE($C$6,12),"12개월 내","12개월 초과"))))))</f>
      </c>
      <c r="AD30" s="50">
        <f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</c>
      <c r="AE30" s="52">
        <f>IF(OR($A30="",C30=""),"",ROUND(C30*IF($G$9="평",3.305785,1),2))</f>
      </c>
      <c r="AF30" s="52">
        <f>IF(OR($A30="",D30=""),"",ROUND(D30*IF($G$9="평",3.305785,1),2))</f>
      </c>
    </row>
    <row r="31" ht="18" customHeight="1" spans="1:32" x14ac:dyDescent="0.25">
      <c r="A31" s="41"/>
      <c r="B31" s="41"/>
      <c r="C31" s="42"/>
      <c r="D31" s="42"/>
      <c r="E31" s="43"/>
      <c r="F31" s="44"/>
      <c r="G31" s="45"/>
      <c r="H31" s="45"/>
      <c r="I31" s="45"/>
      <c r="J31" s="46"/>
      <c r="K31" s="46"/>
      <c r="L31" s="46"/>
      <c r="M31" s="44"/>
      <c r="N31" s="44"/>
      <c r="O31" s="44"/>
      <c r="P31" s="43"/>
      <c r="Q31" s="47">
        <f>IF(OR($A31="",C31=""),"",AE31/3.305785)</f>
      </c>
      <c r="R31" s="47">
        <f>IF(OR($A31="",D31=""),"",AF31/3.305785)</f>
      </c>
      <c r="S31" s="48">
        <f>IF(OR($A31="",C31="",D31=""),"",IF(C31&gt;0,D31/C31*100,""))</f>
      </c>
      <c r="T31" s="49">
        <f>IF(OR($A31="",O31&lt;&gt;"임대중",F31&lt;&gt;"상가",G31=""),"",G31+H31*100)</f>
      </c>
      <c r="U31" s="50">
        <f>IF(T31="","",IF(T31&lt;=$C$7,"○ 전면적용","× 초과 (5%상한 미적용)"))</f>
      </c>
      <c r="V31" s="50">
        <f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</c>
      <c r="W31" s="50">
        <f>IF($A31="","",IF(O31="공실","공실",IF(O31="자가사용","자가사용",IF(L31="","만료일 없음",IF(L31&lt;$C$6,"만료 +"&amp;TEXT($C$6-L31,"0")&amp;"일",IF(L31-$C$6&lt;=30,"임박 "&amp;TEXT(L31-$C$6,"0")&amp;"일","유효"))))))</f>
      </c>
      <c r="X31" s="49">
        <f>IF(OR($A31="",O31&lt;&gt;"임대중"),"",IF(H31="",0,H31)+IF(I31="",0,I31))</f>
      </c>
      <c r="Y31" s="49">
        <f>IF(OR($A31="",O31&lt;&gt;"임대중",H31=""),"",IF(B31="",IF(D31="","",ROUND((H31+IF(I31="",0,I31))/(AF31/3.305785),0)),IF(COUNTIFS($B$13:$B$112,B31,$D$13:$D$112,"")&gt;0,"",ROUND((H31+IF(I31="",0,I31))/(SUMIFS($AF$13:$AF$112,$B$13:$B$112,B31)/3.305785),0))))</f>
      </c>
      <c r="Z31" s="44"/>
      <c r="AA31" s="51"/>
      <c r="AB31" s="44"/>
      <c r="AC31" s="50">
        <f>IF($A31="","",IF(O31="공실","공실",IF(O31="자가사용","자가사용",IF(L31="","만료일 없음",IF(L31&lt;$C$6,"만료 경과",IF(L31&lt;=EDATE($C$6,12),"12개월 내","12개월 초과"))))))</f>
      </c>
      <c r="AD31" s="50">
        <f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</c>
      <c r="AE31" s="52">
        <f>IF(OR($A31="",C31=""),"",ROUND(C31*IF($G$9="평",3.305785,1),2))</f>
      </c>
      <c r="AF31" s="52">
        <f>IF(OR($A31="",D31=""),"",ROUND(D31*IF($G$9="평",3.305785,1),2))</f>
      </c>
    </row>
    <row r="32" ht="18" customHeight="1" spans="1:32" x14ac:dyDescent="0.25">
      <c r="A32" s="41"/>
      <c r="B32" s="41"/>
      <c r="C32" s="42"/>
      <c r="D32" s="42"/>
      <c r="E32" s="43"/>
      <c r="F32" s="44"/>
      <c r="G32" s="45"/>
      <c r="H32" s="45"/>
      <c r="I32" s="45"/>
      <c r="J32" s="46"/>
      <c r="K32" s="46"/>
      <c r="L32" s="46"/>
      <c r="M32" s="44"/>
      <c r="N32" s="44"/>
      <c r="O32" s="44"/>
      <c r="P32" s="43"/>
      <c r="Q32" s="47">
        <f>IF(OR($A32="",C32=""),"",AE32/3.305785)</f>
      </c>
      <c r="R32" s="47">
        <f>IF(OR($A32="",D32=""),"",AF32/3.305785)</f>
      </c>
      <c r="S32" s="48">
        <f>IF(OR($A32="",C32="",D32=""),"",IF(C32&gt;0,D32/C32*100,""))</f>
      </c>
      <c r="T32" s="49">
        <f>IF(OR($A32="",O32&lt;&gt;"임대중",F32&lt;&gt;"상가",G32=""),"",G32+H32*100)</f>
      </c>
      <c r="U32" s="50">
        <f>IF(T32="","",IF(T32&lt;=$C$7,"○ 전면적용","× 초과 (5%상한 미적용)"))</f>
      </c>
      <c r="V32" s="50">
        <f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</c>
      <c r="W32" s="50">
        <f>IF($A32="","",IF(O32="공실","공실",IF(O32="자가사용","자가사용",IF(L32="","만료일 없음",IF(L32&lt;$C$6,"만료 +"&amp;TEXT($C$6-L32,"0")&amp;"일",IF(L32-$C$6&lt;=30,"임박 "&amp;TEXT(L32-$C$6,"0")&amp;"일","유효"))))))</f>
      </c>
      <c r="X32" s="49">
        <f>IF(OR($A32="",O32&lt;&gt;"임대중"),"",IF(H32="",0,H32)+IF(I32="",0,I32))</f>
      </c>
      <c r="Y32" s="49">
        <f>IF(OR($A32="",O32&lt;&gt;"임대중",H32=""),"",IF(B32="",IF(D32="","",ROUND((H32+IF(I32="",0,I32))/(AF32/3.305785),0)),IF(COUNTIFS($B$13:$B$112,B32,$D$13:$D$112,"")&gt;0,"",ROUND((H32+IF(I32="",0,I32))/(SUMIFS($AF$13:$AF$112,$B$13:$B$112,B32)/3.305785),0))))</f>
      </c>
      <c r="Z32" s="44"/>
      <c r="AA32" s="51"/>
      <c r="AB32" s="44"/>
      <c r="AC32" s="50">
        <f>IF($A32="","",IF(O32="공실","공실",IF(O32="자가사용","자가사용",IF(L32="","만료일 없음",IF(L32&lt;$C$6,"만료 경과",IF(L32&lt;=EDATE($C$6,12),"12개월 내","12개월 초과"))))))</f>
      </c>
      <c r="AD32" s="50">
        <f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</c>
      <c r="AE32" s="52">
        <f>IF(OR($A32="",C32=""),"",ROUND(C32*IF($G$9="평",3.305785,1),2))</f>
      </c>
      <c r="AF32" s="52">
        <f>IF(OR($A32="",D32=""),"",ROUND(D32*IF($G$9="평",3.305785,1),2))</f>
      </c>
    </row>
    <row r="33" ht="18" customHeight="1" spans="1:32" x14ac:dyDescent="0.25">
      <c r="A33" s="41"/>
      <c r="B33" s="41"/>
      <c r="C33" s="42"/>
      <c r="D33" s="42"/>
      <c r="E33" s="43"/>
      <c r="F33" s="44"/>
      <c r="G33" s="45"/>
      <c r="H33" s="45"/>
      <c r="I33" s="45"/>
      <c r="J33" s="46"/>
      <c r="K33" s="46"/>
      <c r="L33" s="46"/>
      <c r="M33" s="44"/>
      <c r="N33" s="44"/>
      <c r="O33" s="44"/>
      <c r="P33" s="43"/>
      <c r="Q33" s="47">
        <f>IF(OR($A33="",C33=""),"",AE33/3.305785)</f>
      </c>
      <c r="R33" s="47">
        <f>IF(OR($A33="",D33=""),"",AF33/3.305785)</f>
      </c>
      <c r="S33" s="48">
        <f>IF(OR($A33="",C33="",D33=""),"",IF(C33&gt;0,D33/C33*100,""))</f>
      </c>
      <c r="T33" s="49">
        <f>IF(OR($A33="",O33&lt;&gt;"임대중",F33&lt;&gt;"상가",G33=""),"",G33+H33*100)</f>
      </c>
      <c r="U33" s="50">
        <f>IF(T33="","",IF(T33&lt;=$C$7,"○ 전면적용","× 초과 (5%상한 미적용)"))</f>
      </c>
      <c r="V33" s="50">
        <f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</c>
      <c r="W33" s="50">
        <f>IF($A33="","",IF(O33="공실","공실",IF(O33="자가사용","자가사용",IF(L33="","만료일 없음",IF(L33&lt;$C$6,"만료 +"&amp;TEXT($C$6-L33,"0")&amp;"일",IF(L33-$C$6&lt;=30,"임박 "&amp;TEXT(L33-$C$6,"0")&amp;"일","유효"))))))</f>
      </c>
      <c r="X33" s="49">
        <f>IF(OR($A33="",O33&lt;&gt;"임대중"),"",IF(H33="",0,H33)+IF(I33="",0,I33))</f>
      </c>
      <c r="Y33" s="49">
        <f>IF(OR($A33="",O33&lt;&gt;"임대중",H33=""),"",IF(B33="",IF(D33="","",ROUND((H33+IF(I33="",0,I33))/(AF33/3.305785),0)),IF(COUNTIFS($B$13:$B$112,B33,$D$13:$D$112,"")&gt;0,"",ROUND((H33+IF(I33="",0,I33))/(SUMIFS($AF$13:$AF$112,$B$13:$B$112,B33)/3.305785),0))))</f>
      </c>
      <c r="Z33" s="44"/>
      <c r="AA33" s="51"/>
      <c r="AB33" s="44"/>
      <c r="AC33" s="50">
        <f>IF($A33="","",IF(O33="공실","공실",IF(O33="자가사용","자가사용",IF(L33="","만료일 없음",IF(L33&lt;$C$6,"만료 경과",IF(L33&lt;=EDATE($C$6,12),"12개월 내","12개월 초과"))))))</f>
      </c>
      <c r="AD33" s="50">
        <f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</c>
      <c r="AE33" s="52">
        <f>IF(OR($A33="",C33=""),"",ROUND(C33*IF($G$9="평",3.305785,1),2))</f>
      </c>
      <c r="AF33" s="52">
        <f>IF(OR($A33="",D33=""),"",ROUND(D33*IF($G$9="평",3.305785,1),2))</f>
      </c>
    </row>
    <row r="34" ht="18" customHeight="1" spans="1:32" x14ac:dyDescent="0.25">
      <c r="A34" s="41"/>
      <c r="B34" s="41"/>
      <c r="C34" s="42"/>
      <c r="D34" s="42"/>
      <c r="E34" s="43"/>
      <c r="F34" s="44"/>
      <c r="G34" s="45"/>
      <c r="H34" s="45"/>
      <c r="I34" s="45"/>
      <c r="J34" s="46"/>
      <c r="K34" s="46"/>
      <c r="L34" s="46"/>
      <c r="M34" s="44"/>
      <c r="N34" s="44"/>
      <c r="O34" s="44"/>
      <c r="P34" s="43"/>
      <c r="Q34" s="47">
        <f>IF(OR($A34="",C34=""),"",AE34/3.305785)</f>
      </c>
      <c r="R34" s="47">
        <f>IF(OR($A34="",D34=""),"",AF34/3.305785)</f>
      </c>
      <c r="S34" s="48">
        <f>IF(OR($A34="",C34="",D34=""),"",IF(C34&gt;0,D34/C34*100,""))</f>
      </c>
      <c r="T34" s="49">
        <f>IF(OR($A34="",O34&lt;&gt;"임대중",F34&lt;&gt;"상가",G34=""),"",G34+H34*100)</f>
      </c>
      <c r="U34" s="50">
        <f>IF(T34="","",IF(T34&lt;=$C$7,"○ 전면적용","× 초과 (5%상한 미적용)"))</f>
      </c>
      <c r="V34" s="50">
        <f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</c>
      <c r="W34" s="50">
        <f>IF($A34="","",IF(O34="공실","공실",IF(O34="자가사용","자가사용",IF(L34="","만료일 없음",IF(L34&lt;$C$6,"만료 +"&amp;TEXT($C$6-L34,"0")&amp;"일",IF(L34-$C$6&lt;=30,"임박 "&amp;TEXT(L34-$C$6,"0")&amp;"일","유효"))))))</f>
      </c>
      <c r="X34" s="49">
        <f>IF(OR($A34="",O34&lt;&gt;"임대중"),"",IF(H34="",0,H34)+IF(I34="",0,I34))</f>
      </c>
      <c r="Y34" s="49">
        <f>IF(OR($A34="",O34&lt;&gt;"임대중",H34=""),"",IF(B34="",IF(D34="","",ROUND((H34+IF(I34="",0,I34))/(AF34/3.305785),0)),IF(COUNTIFS($B$13:$B$112,B34,$D$13:$D$112,"")&gt;0,"",ROUND((H34+IF(I34="",0,I34))/(SUMIFS($AF$13:$AF$112,$B$13:$B$112,B34)/3.305785),0))))</f>
      </c>
      <c r="Z34" s="44"/>
      <c r="AA34" s="51"/>
      <c r="AB34" s="44"/>
      <c r="AC34" s="50">
        <f>IF($A34="","",IF(O34="공실","공실",IF(O34="자가사용","자가사용",IF(L34="","만료일 없음",IF(L34&lt;$C$6,"만료 경과",IF(L34&lt;=EDATE($C$6,12),"12개월 내","12개월 초과"))))))</f>
      </c>
      <c r="AD34" s="50">
        <f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</c>
      <c r="AE34" s="52">
        <f>IF(OR($A34="",C34=""),"",ROUND(C34*IF($G$9="평",3.305785,1),2))</f>
      </c>
      <c r="AF34" s="52">
        <f>IF(OR($A34="",D34=""),"",ROUND(D34*IF($G$9="평",3.305785,1),2))</f>
      </c>
    </row>
    <row r="35" ht="18" customHeight="1" spans="1:32" x14ac:dyDescent="0.25">
      <c r="A35" s="41"/>
      <c r="B35" s="41"/>
      <c r="C35" s="42"/>
      <c r="D35" s="42"/>
      <c r="E35" s="43"/>
      <c r="F35" s="44"/>
      <c r="G35" s="45"/>
      <c r="H35" s="45"/>
      <c r="I35" s="45"/>
      <c r="J35" s="46"/>
      <c r="K35" s="46"/>
      <c r="L35" s="46"/>
      <c r="M35" s="44"/>
      <c r="N35" s="44"/>
      <c r="O35" s="44"/>
      <c r="P35" s="43"/>
      <c r="Q35" s="47">
        <f>IF(OR($A35="",C35=""),"",AE35/3.305785)</f>
      </c>
      <c r="R35" s="47">
        <f>IF(OR($A35="",D35=""),"",AF35/3.305785)</f>
      </c>
      <c r="S35" s="48">
        <f>IF(OR($A35="",C35="",D35=""),"",IF(C35&gt;0,D35/C35*100,""))</f>
      </c>
      <c r="T35" s="49">
        <f>IF(OR($A35="",O35&lt;&gt;"임대중",F35&lt;&gt;"상가",G35=""),"",G35+H35*100)</f>
      </c>
      <c r="U35" s="50">
        <f>IF(T35="","",IF(T35&lt;=$C$7,"○ 전면적용","× 초과 (5%상한 미적용)"))</f>
      </c>
      <c r="V35" s="50">
        <f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</c>
      <c r="W35" s="50">
        <f>IF($A35="","",IF(O35="공실","공실",IF(O35="자가사용","자가사용",IF(L35="","만료일 없음",IF(L35&lt;$C$6,"만료 +"&amp;TEXT($C$6-L35,"0")&amp;"일",IF(L35-$C$6&lt;=30,"임박 "&amp;TEXT(L35-$C$6,"0")&amp;"일","유효"))))))</f>
      </c>
      <c r="X35" s="49">
        <f>IF(OR($A35="",O35&lt;&gt;"임대중"),"",IF(H35="",0,H35)+IF(I35="",0,I35))</f>
      </c>
      <c r="Y35" s="49">
        <f>IF(OR($A35="",O35&lt;&gt;"임대중",H35=""),"",IF(B35="",IF(D35="","",ROUND((H35+IF(I35="",0,I35))/(AF35/3.305785),0)),IF(COUNTIFS($B$13:$B$112,B35,$D$13:$D$112,"")&gt;0,"",ROUND((H35+IF(I35="",0,I35))/(SUMIFS($AF$13:$AF$112,$B$13:$B$112,B35)/3.305785),0))))</f>
      </c>
      <c r="Z35" s="44"/>
      <c r="AA35" s="51"/>
      <c r="AB35" s="44"/>
      <c r="AC35" s="50">
        <f>IF($A35="","",IF(O35="공실","공실",IF(O35="자가사용","자가사용",IF(L35="","만료일 없음",IF(L35&lt;$C$6,"만료 경과",IF(L35&lt;=EDATE($C$6,12),"12개월 내","12개월 초과"))))))</f>
      </c>
      <c r="AD35" s="50">
        <f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</c>
      <c r="AE35" s="52">
        <f>IF(OR($A35="",C35=""),"",ROUND(C35*IF($G$9="평",3.305785,1),2))</f>
      </c>
      <c r="AF35" s="52">
        <f>IF(OR($A35="",D35=""),"",ROUND(D35*IF($G$9="평",3.305785,1),2))</f>
      </c>
    </row>
    <row r="36" ht="18" customHeight="1" spans="1:32" x14ac:dyDescent="0.25">
      <c r="A36" s="41"/>
      <c r="B36" s="41"/>
      <c r="C36" s="42"/>
      <c r="D36" s="42"/>
      <c r="E36" s="43"/>
      <c r="F36" s="44"/>
      <c r="G36" s="45"/>
      <c r="H36" s="45"/>
      <c r="I36" s="45"/>
      <c r="J36" s="46"/>
      <c r="K36" s="46"/>
      <c r="L36" s="46"/>
      <c r="M36" s="44"/>
      <c r="N36" s="44"/>
      <c r="O36" s="44"/>
      <c r="P36" s="43"/>
      <c r="Q36" s="47">
        <f>IF(OR($A36="",C36=""),"",AE36/3.305785)</f>
      </c>
      <c r="R36" s="47">
        <f>IF(OR($A36="",D36=""),"",AF36/3.305785)</f>
      </c>
      <c r="S36" s="48">
        <f>IF(OR($A36="",C36="",D36=""),"",IF(C36&gt;0,D36/C36*100,""))</f>
      </c>
      <c r="T36" s="49">
        <f>IF(OR($A36="",O36&lt;&gt;"임대중",F36&lt;&gt;"상가",G36=""),"",G36+H36*100)</f>
      </c>
      <c r="U36" s="50">
        <f>IF(T36="","",IF(T36&lt;=$C$7,"○ 전면적용","× 초과 (5%상한 미적용)"))</f>
      </c>
      <c r="V36" s="50">
        <f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</c>
      <c r="W36" s="50">
        <f>IF($A36="","",IF(O36="공실","공실",IF(O36="자가사용","자가사용",IF(L36="","만료일 없음",IF(L36&lt;$C$6,"만료 +"&amp;TEXT($C$6-L36,"0")&amp;"일",IF(L36-$C$6&lt;=30,"임박 "&amp;TEXT(L36-$C$6,"0")&amp;"일","유효"))))))</f>
      </c>
      <c r="X36" s="49">
        <f>IF(OR($A36="",O36&lt;&gt;"임대중"),"",IF(H36="",0,H36)+IF(I36="",0,I36))</f>
      </c>
      <c r="Y36" s="49">
        <f>IF(OR($A36="",O36&lt;&gt;"임대중",H36=""),"",IF(B36="",IF(D36="","",ROUND((H36+IF(I36="",0,I36))/(AF36/3.305785),0)),IF(COUNTIFS($B$13:$B$112,B36,$D$13:$D$112,"")&gt;0,"",ROUND((H36+IF(I36="",0,I36))/(SUMIFS($AF$13:$AF$112,$B$13:$B$112,B36)/3.305785),0))))</f>
      </c>
      <c r="Z36" s="44"/>
      <c r="AA36" s="51"/>
      <c r="AB36" s="44"/>
      <c r="AC36" s="50">
        <f>IF($A36="","",IF(O36="공실","공실",IF(O36="자가사용","자가사용",IF(L36="","만료일 없음",IF(L36&lt;$C$6,"만료 경과",IF(L36&lt;=EDATE($C$6,12),"12개월 내","12개월 초과"))))))</f>
      </c>
      <c r="AD36" s="50">
        <f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</c>
      <c r="AE36" s="52">
        <f>IF(OR($A36="",C36=""),"",ROUND(C36*IF($G$9="평",3.305785,1),2))</f>
      </c>
      <c r="AF36" s="52">
        <f>IF(OR($A36="",D36=""),"",ROUND(D36*IF($G$9="평",3.305785,1),2))</f>
      </c>
    </row>
    <row r="37" ht="18" customHeight="1" spans="1:32" x14ac:dyDescent="0.25">
      <c r="A37" s="41"/>
      <c r="B37" s="41"/>
      <c r="C37" s="42"/>
      <c r="D37" s="42"/>
      <c r="E37" s="43"/>
      <c r="F37" s="44"/>
      <c r="G37" s="45"/>
      <c r="H37" s="45"/>
      <c r="I37" s="45"/>
      <c r="J37" s="46"/>
      <c r="K37" s="46"/>
      <c r="L37" s="46"/>
      <c r="M37" s="44"/>
      <c r="N37" s="44"/>
      <c r="O37" s="44"/>
      <c r="P37" s="43"/>
      <c r="Q37" s="47">
        <f>IF(OR($A37="",C37=""),"",AE37/3.305785)</f>
      </c>
      <c r="R37" s="47">
        <f>IF(OR($A37="",D37=""),"",AF37/3.305785)</f>
      </c>
      <c r="S37" s="48">
        <f>IF(OR($A37="",C37="",D37=""),"",IF(C37&gt;0,D37/C37*100,""))</f>
      </c>
      <c r="T37" s="49">
        <f>IF(OR($A37="",O37&lt;&gt;"임대중",F37&lt;&gt;"상가",G37=""),"",G37+H37*100)</f>
      </c>
      <c r="U37" s="50">
        <f>IF(T37="","",IF(T37&lt;=$C$7,"○ 전면적용","× 초과 (5%상한 미적용)"))</f>
      </c>
      <c r="V37" s="50">
        <f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</c>
      <c r="W37" s="50">
        <f>IF($A37="","",IF(O37="공실","공실",IF(O37="자가사용","자가사용",IF(L37="","만료일 없음",IF(L37&lt;$C$6,"만료 +"&amp;TEXT($C$6-L37,"0")&amp;"일",IF(L37-$C$6&lt;=30,"임박 "&amp;TEXT(L37-$C$6,"0")&amp;"일","유효"))))))</f>
      </c>
      <c r="X37" s="49">
        <f>IF(OR($A37="",O37&lt;&gt;"임대중"),"",IF(H37="",0,H37)+IF(I37="",0,I37))</f>
      </c>
      <c r="Y37" s="49">
        <f>IF(OR($A37="",O37&lt;&gt;"임대중",H37=""),"",IF(B37="",IF(D37="","",ROUND((H37+IF(I37="",0,I37))/(AF37/3.305785),0)),IF(COUNTIFS($B$13:$B$112,B37,$D$13:$D$112,"")&gt;0,"",ROUND((H37+IF(I37="",0,I37))/(SUMIFS($AF$13:$AF$112,$B$13:$B$112,B37)/3.305785),0))))</f>
      </c>
      <c r="Z37" s="44"/>
      <c r="AA37" s="51"/>
      <c r="AB37" s="44"/>
      <c r="AC37" s="50">
        <f>IF($A37="","",IF(O37="공실","공실",IF(O37="자가사용","자가사용",IF(L37="","만료일 없음",IF(L37&lt;$C$6,"만료 경과",IF(L37&lt;=EDATE($C$6,12),"12개월 내","12개월 초과"))))))</f>
      </c>
      <c r="AD37" s="50">
        <f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</c>
      <c r="AE37" s="52">
        <f>IF(OR($A37="",C37=""),"",ROUND(C37*IF($G$9="평",3.305785,1),2))</f>
      </c>
      <c r="AF37" s="52">
        <f>IF(OR($A37="",D37=""),"",ROUND(D37*IF($G$9="평",3.305785,1),2))</f>
      </c>
    </row>
    <row r="38" ht="18" customHeight="1" spans="1:32" x14ac:dyDescent="0.25">
      <c r="A38" s="41"/>
      <c r="B38" s="41"/>
      <c r="C38" s="42"/>
      <c r="D38" s="42"/>
      <c r="E38" s="43"/>
      <c r="F38" s="44"/>
      <c r="G38" s="45"/>
      <c r="H38" s="45"/>
      <c r="I38" s="45"/>
      <c r="J38" s="46"/>
      <c r="K38" s="46"/>
      <c r="L38" s="46"/>
      <c r="M38" s="44"/>
      <c r="N38" s="44"/>
      <c r="O38" s="44"/>
      <c r="P38" s="43"/>
      <c r="Q38" s="47">
        <f>IF(OR($A38="",C38=""),"",AE38/3.305785)</f>
      </c>
      <c r="R38" s="47">
        <f>IF(OR($A38="",D38=""),"",AF38/3.305785)</f>
      </c>
      <c r="S38" s="48">
        <f>IF(OR($A38="",C38="",D38=""),"",IF(C38&gt;0,D38/C38*100,""))</f>
      </c>
      <c r="T38" s="49">
        <f>IF(OR($A38="",O38&lt;&gt;"임대중",F38&lt;&gt;"상가",G38=""),"",G38+H38*100)</f>
      </c>
      <c r="U38" s="50">
        <f>IF(T38="","",IF(T38&lt;=$C$7,"○ 전면적용","× 초과 (5%상한 미적용)"))</f>
      </c>
      <c r="V38" s="50">
        <f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</c>
      <c r="W38" s="50">
        <f>IF($A38="","",IF(O38="공실","공실",IF(O38="자가사용","자가사용",IF(L38="","만료일 없음",IF(L38&lt;$C$6,"만료 +"&amp;TEXT($C$6-L38,"0")&amp;"일",IF(L38-$C$6&lt;=30,"임박 "&amp;TEXT(L38-$C$6,"0")&amp;"일","유효"))))))</f>
      </c>
      <c r="X38" s="49">
        <f>IF(OR($A38="",O38&lt;&gt;"임대중"),"",IF(H38="",0,H38)+IF(I38="",0,I38))</f>
      </c>
      <c r="Y38" s="49">
        <f>IF(OR($A38="",O38&lt;&gt;"임대중",H38=""),"",IF(B38="",IF(D38="","",ROUND((H38+IF(I38="",0,I38))/(AF38/3.305785),0)),IF(COUNTIFS($B$13:$B$112,B38,$D$13:$D$112,"")&gt;0,"",ROUND((H38+IF(I38="",0,I38))/(SUMIFS($AF$13:$AF$112,$B$13:$B$112,B38)/3.305785),0))))</f>
      </c>
      <c r="Z38" s="44"/>
      <c r="AA38" s="51"/>
      <c r="AB38" s="44"/>
      <c r="AC38" s="50">
        <f>IF($A38="","",IF(O38="공실","공실",IF(O38="자가사용","자가사용",IF(L38="","만료일 없음",IF(L38&lt;$C$6,"만료 경과",IF(L38&lt;=EDATE($C$6,12),"12개월 내","12개월 초과"))))))</f>
      </c>
      <c r="AD38" s="50">
        <f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</c>
      <c r="AE38" s="52">
        <f>IF(OR($A38="",C38=""),"",ROUND(C38*IF($G$9="평",3.305785,1),2))</f>
      </c>
      <c r="AF38" s="52">
        <f>IF(OR($A38="",D38=""),"",ROUND(D38*IF($G$9="평",3.305785,1),2))</f>
      </c>
    </row>
    <row r="39" ht="18" customHeight="1" spans="1:32" x14ac:dyDescent="0.25">
      <c r="A39" s="41"/>
      <c r="B39" s="41"/>
      <c r="C39" s="42"/>
      <c r="D39" s="42"/>
      <c r="E39" s="43"/>
      <c r="F39" s="44"/>
      <c r="G39" s="45"/>
      <c r="H39" s="45"/>
      <c r="I39" s="45"/>
      <c r="J39" s="46"/>
      <c r="K39" s="46"/>
      <c r="L39" s="46"/>
      <c r="M39" s="44"/>
      <c r="N39" s="44"/>
      <c r="O39" s="44"/>
      <c r="P39" s="43"/>
      <c r="Q39" s="47">
        <f>IF(OR($A39="",C39=""),"",AE39/3.305785)</f>
      </c>
      <c r="R39" s="47">
        <f>IF(OR($A39="",D39=""),"",AF39/3.305785)</f>
      </c>
      <c r="S39" s="48">
        <f>IF(OR($A39="",C39="",D39=""),"",IF(C39&gt;0,D39/C39*100,""))</f>
      </c>
      <c r="T39" s="49">
        <f>IF(OR($A39="",O39&lt;&gt;"임대중",F39&lt;&gt;"상가",G39=""),"",G39+H39*100)</f>
      </c>
      <c r="U39" s="50">
        <f>IF(T39="","",IF(T39&lt;=$C$7,"○ 전면적용","× 초과 (5%상한 미적용)"))</f>
      </c>
      <c r="V39" s="50">
        <f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</c>
      <c r="W39" s="50">
        <f>IF($A39="","",IF(O39="공실","공실",IF(O39="자가사용","자가사용",IF(L39="","만료일 없음",IF(L39&lt;$C$6,"만료 +"&amp;TEXT($C$6-L39,"0")&amp;"일",IF(L39-$C$6&lt;=30,"임박 "&amp;TEXT(L39-$C$6,"0")&amp;"일","유효"))))))</f>
      </c>
      <c r="X39" s="49">
        <f>IF(OR($A39="",O39&lt;&gt;"임대중"),"",IF(H39="",0,H39)+IF(I39="",0,I39))</f>
      </c>
      <c r="Y39" s="49">
        <f>IF(OR($A39="",O39&lt;&gt;"임대중",H39=""),"",IF(B39="",IF(D39="","",ROUND((H39+IF(I39="",0,I39))/(AF39/3.305785),0)),IF(COUNTIFS($B$13:$B$112,B39,$D$13:$D$112,"")&gt;0,"",ROUND((H39+IF(I39="",0,I39))/(SUMIFS($AF$13:$AF$112,$B$13:$B$112,B39)/3.305785),0))))</f>
      </c>
      <c r="Z39" s="44"/>
      <c r="AA39" s="51"/>
      <c r="AB39" s="44"/>
      <c r="AC39" s="50">
        <f>IF($A39="","",IF(O39="공실","공실",IF(O39="자가사용","자가사용",IF(L39="","만료일 없음",IF(L39&lt;$C$6,"만료 경과",IF(L39&lt;=EDATE($C$6,12),"12개월 내","12개월 초과"))))))</f>
      </c>
      <c r="AD39" s="50">
        <f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</c>
      <c r="AE39" s="52">
        <f>IF(OR($A39="",C39=""),"",ROUND(C39*IF($G$9="평",3.305785,1),2))</f>
      </c>
      <c r="AF39" s="52">
        <f>IF(OR($A39="",D39=""),"",ROUND(D39*IF($G$9="평",3.305785,1),2))</f>
      </c>
    </row>
    <row r="40" ht="18" customHeight="1" spans="1:32" x14ac:dyDescent="0.25">
      <c r="A40" s="41"/>
      <c r="B40" s="41"/>
      <c r="C40" s="42"/>
      <c r="D40" s="42"/>
      <c r="E40" s="43"/>
      <c r="F40" s="44"/>
      <c r="G40" s="45"/>
      <c r="H40" s="45"/>
      <c r="I40" s="45"/>
      <c r="J40" s="46"/>
      <c r="K40" s="46"/>
      <c r="L40" s="46"/>
      <c r="M40" s="44"/>
      <c r="N40" s="44"/>
      <c r="O40" s="44"/>
      <c r="P40" s="43"/>
      <c r="Q40" s="47">
        <f>IF(OR($A40="",C40=""),"",AE40/3.305785)</f>
      </c>
      <c r="R40" s="47">
        <f>IF(OR($A40="",D40=""),"",AF40/3.305785)</f>
      </c>
      <c r="S40" s="48">
        <f>IF(OR($A40="",C40="",D40=""),"",IF(C40&gt;0,D40/C40*100,""))</f>
      </c>
      <c r="T40" s="49">
        <f>IF(OR($A40="",O40&lt;&gt;"임대중",F40&lt;&gt;"상가",G40=""),"",G40+H40*100)</f>
      </c>
      <c r="U40" s="50">
        <f>IF(T40="","",IF(T40&lt;=$C$7,"○ 전면적용","× 초과 (5%상한 미적용)"))</f>
      </c>
      <c r="V40" s="50">
        <f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</c>
      <c r="W40" s="50">
        <f>IF($A40="","",IF(O40="공실","공실",IF(O40="자가사용","자가사용",IF(L40="","만료일 없음",IF(L40&lt;$C$6,"만료 +"&amp;TEXT($C$6-L40,"0")&amp;"일",IF(L40-$C$6&lt;=30,"임박 "&amp;TEXT(L40-$C$6,"0")&amp;"일","유효"))))))</f>
      </c>
      <c r="X40" s="49">
        <f>IF(OR($A40="",O40&lt;&gt;"임대중"),"",IF(H40="",0,H40)+IF(I40="",0,I40))</f>
      </c>
      <c r="Y40" s="49">
        <f>IF(OR($A40="",O40&lt;&gt;"임대중",H40=""),"",IF(B40="",IF(D40="","",ROUND((H40+IF(I40="",0,I40))/(AF40/3.305785),0)),IF(COUNTIFS($B$13:$B$112,B40,$D$13:$D$112,"")&gt;0,"",ROUND((H40+IF(I40="",0,I40))/(SUMIFS($AF$13:$AF$112,$B$13:$B$112,B40)/3.305785),0))))</f>
      </c>
      <c r="Z40" s="44"/>
      <c r="AA40" s="51"/>
      <c r="AB40" s="44"/>
      <c r="AC40" s="50">
        <f>IF($A40="","",IF(O40="공실","공실",IF(O40="자가사용","자가사용",IF(L40="","만료일 없음",IF(L40&lt;$C$6,"만료 경과",IF(L40&lt;=EDATE($C$6,12),"12개월 내","12개월 초과"))))))</f>
      </c>
      <c r="AD40" s="50">
        <f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</c>
      <c r="AE40" s="52">
        <f>IF(OR($A40="",C40=""),"",ROUND(C40*IF($G$9="평",3.305785,1),2))</f>
      </c>
      <c r="AF40" s="52">
        <f>IF(OR($A40="",D40=""),"",ROUND(D40*IF($G$9="평",3.305785,1),2))</f>
      </c>
    </row>
    <row r="41" ht="18" customHeight="1" spans="1:32" x14ac:dyDescent="0.25">
      <c r="A41" s="41"/>
      <c r="B41" s="41"/>
      <c r="C41" s="42"/>
      <c r="D41" s="42"/>
      <c r="E41" s="43"/>
      <c r="F41" s="44"/>
      <c r="G41" s="45"/>
      <c r="H41" s="45"/>
      <c r="I41" s="45"/>
      <c r="J41" s="46"/>
      <c r="K41" s="46"/>
      <c r="L41" s="46"/>
      <c r="M41" s="44"/>
      <c r="N41" s="44"/>
      <c r="O41" s="44"/>
      <c r="P41" s="43"/>
      <c r="Q41" s="47">
        <f>IF(OR($A41="",C41=""),"",AE41/3.305785)</f>
      </c>
      <c r="R41" s="47">
        <f>IF(OR($A41="",D41=""),"",AF41/3.305785)</f>
      </c>
      <c r="S41" s="48">
        <f>IF(OR($A41="",C41="",D41=""),"",IF(C41&gt;0,D41/C41*100,""))</f>
      </c>
      <c r="T41" s="49">
        <f>IF(OR($A41="",O41&lt;&gt;"임대중",F41&lt;&gt;"상가",G41=""),"",G41+H41*100)</f>
      </c>
      <c r="U41" s="50">
        <f>IF(T41="","",IF(T41&lt;=$C$7,"○ 전면적용","× 초과 (5%상한 미적용)"))</f>
      </c>
      <c r="V41" s="50">
        <f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</c>
      <c r="W41" s="50">
        <f>IF($A41="","",IF(O41="공실","공실",IF(O41="자가사용","자가사용",IF(L41="","만료일 없음",IF(L41&lt;$C$6,"만료 +"&amp;TEXT($C$6-L41,"0")&amp;"일",IF(L41-$C$6&lt;=30,"임박 "&amp;TEXT(L41-$C$6,"0")&amp;"일","유효"))))))</f>
      </c>
      <c r="X41" s="49">
        <f>IF(OR($A41="",O41&lt;&gt;"임대중"),"",IF(H41="",0,H41)+IF(I41="",0,I41))</f>
      </c>
      <c r="Y41" s="49">
        <f>IF(OR($A41="",O41&lt;&gt;"임대중",H41=""),"",IF(B41="",IF(D41="","",ROUND((H41+IF(I41="",0,I41))/(AF41/3.305785),0)),IF(COUNTIFS($B$13:$B$112,B41,$D$13:$D$112,"")&gt;0,"",ROUND((H41+IF(I41="",0,I41))/(SUMIFS($AF$13:$AF$112,$B$13:$B$112,B41)/3.305785),0))))</f>
      </c>
      <c r="Z41" s="44"/>
      <c r="AA41" s="51"/>
      <c r="AB41" s="44"/>
      <c r="AC41" s="50">
        <f>IF($A41="","",IF(O41="공실","공실",IF(O41="자가사용","자가사용",IF(L41="","만료일 없음",IF(L41&lt;$C$6,"만료 경과",IF(L41&lt;=EDATE($C$6,12),"12개월 내","12개월 초과"))))))</f>
      </c>
      <c r="AD41" s="50">
        <f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</c>
      <c r="AE41" s="52">
        <f>IF(OR($A41="",C41=""),"",ROUND(C41*IF($G$9="평",3.305785,1),2))</f>
      </c>
      <c r="AF41" s="52">
        <f>IF(OR($A41="",D41=""),"",ROUND(D41*IF($G$9="평",3.305785,1),2))</f>
      </c>
    </row>
    <row r="42" ht="18" customHeight="1" spans="1:32" x14ac:dyDescent="0.25">
      <c r="A42" s="41"/>
      <c r="B42" s="41"/>
      <c r="C42" s="42"/>
      <c r="D42" s="42"/>
      <c r="E42" s="43"/>
      <c r="F42" s="44"/>
      <c r="G42" s="45"/>
      <c r="H42" s="45"/>
      <c r="I42" s="45"/>
      <c r="J42" s="46"/>
      <c r="K42" s="46"/>
      <c r="L42" s="46"/>
      <c r="M42" s="44"/>
      <c r="N42" s="44"/>
      <c r="O42" s="44"/>
      <c r="P42" s="43"/>
      <c r="Q42" s="47">
        <f>IF(OR($A42="",C42=""),"",AE42/3.305785)</f>
      </c>
      <c r="R42" s="47">
        <f>IF(OR($A42="",D42=""),"",AF42/3.305785)</f>
      </c>
      <c r="S42" s="48">
        <f>IF(OR($A42="",C42="",D42=""),"",IF(C42&gt;0,D42/C42*100,""))</f>
      </c>
      <c r="T42" s="49">
        <f>IF(OR($A42="",O42&lt;&gt;"임대중",F42&lt;&gt;"상가",G42=""),"",G42+H42*100)</f>
      </c>
      <c r="U42" s="50">
        <f>IF(T42="","",IF(T42&lt;=$C$7,"○ 전면적용","× 초과 (5%상한 미적용)"))</f>
      </c>
      <c r="V42" s="50">
        <f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</c>
      <c r="W42" s="50">
        <f>IF($A42="","",IF(O42="공실","공실",IF(O42="자가사용","자가사용",IF(L42="","만료일 없음",IF(L42&lt;$C$6,"만료 +"&amp;TEXT($C$6-L42,"0")&amp;"일",IF(L42-$C$6&lt;=30,"임박 "&amp;TEXT(L42-$C$6,"0")&amp;"일","유효"))))))</f>
      </c>
      <c r="X42" s="49">
        <f>IF(OR($A42="",O42&lt;&gt;"임대중"),"",IF(H42="",0,H42)+IF(I42="",0,I42))</f>
      </c>
      <c r="Y42" s="49">
        <f>IF(OR($A42="",O42&lt;&gt;"임대중",H42=""),"",IF(B42="",IF(D42="","",ROUND((H42+IF(I42="",0,I42))/(AF42/3.305785),0)),IF(COUNTIFS($B$13:$B$112,B42,$D$13:$D$112,"")&gt;0,"",ROUND((H42+IF(I42="",0,I42))/(SUMIFS($AF$13:$AF$112,$B$13:$B$112,B42)/3.305785),0))))</f>
      </c>
      <c r="Z42" s="44"/>
      <c r="AA42" s="51"/>
      <c r="AB42" s="44"/>
      <c r="AC42" s="50">
        <f>IF($A42="","",IF(O42="공실","공실",IF(O42="자가사용","자가사용",IF(L42="","만료일 없음",IF(L42&lt;$C$6,"만료 경과",IF(L42&lt;=EDATE($C$6,12),"12개월 내","12개월 초과"))))))</f>
      </c>
      <c r="AD42" s="50">
        <f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</c>
      <c r="AE42" s="52">
        <f>IF(OR($A42="",C42=""),"",ROUND(C42*IF($G$9="평",3.305785,1),2))</f>
      </c>
      <c r="AF42" s="52">
        <f>IF(OR($A42="",D42=""),"",ROUND(D42*IF($G$9="평",3.305785,1),2))</f>
      </c>
    </row>
    <row r="43" ht="18" customHeight="1" spans="1:32" x14ac:dyDescent="0.25">
      <c r="A43" s="41"/>
      <c r="B43" s="41"/>
      <c r="C43" s="42"/>
      <c r="D43" s="42"/>
      <c r="E43" s="43"/>
      <c r="F43" s="44"/>
      <c r="G43" s="45"/>
      <c r="H43" s="45"/>
      <c r="I43" s="45"/>
      <c r="J43" s="46"/>
      <c r="K43" s="46"/>
      <c r="L43" s="46"/>
      <c r="M43" s="44"/>
      <c r="N43" s="44"/>
      <c r="O43" s="44"/>
      <c r="P43" s="43"/>
      <c r="Q43" s="47">
        <f>IF(OR($A43="",C43=""),"",AE43/3.305785)</f>
      </c>
      <c r="R43" s="47">
        <f>IF(OR($A43="",D43=""),"",AF43/3.305785)</f>
      </c>
      <c r="S43" s="48">
        <f>IF(OR($A43="",C43="",D43=""),"",IF(C43&gt;0,D43/C43*100,""))</f>
      </c>
      <c r="T43" s="49">
        <f>IF(OR($A43="",O43&lt;&gt;"임대중",F43&lt;&gt;"상가",G43=""),"",G43+H43*100)</f>
      </c>
      <c r="U43" s="50">
        <f>IF(T43="","",IF(T43&lt;=$C$7,"○ 전면적용","× 초과 (5%상한 미적용)"))</f>
      </c>
      <c r="V43" s="50">
        <f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</c>
      <c r="W43" s="50">
        <f>IF($A43="","",IF(O43="공실","공실",IF(O43="자가사용","자가사용",IF(L43="","만료일 없음",IF(L43&lt;$C$6,"만료 +"&amp;TEXT($C$6-L43,"0")&amp;"일",IF(L43-$C$6&lt;=30,"임박 "&amp;TEXT(L43-$C$6,"0")&amp;"일","유효"))))))</f>
      </c>
      <c r="X43" s="49">
        <f>IF(OR($A43="",O43&lt;&gt;"임대중"),"",IF(H43="",0,H43)+IF(I43="",0,I43))</f>
      </c>
      <c r="Y43" s="49">
        <f>IF(OR($A43="",O43&lt;&gt;"임대중",H43=""),"",IF(B43="",IF(D43="","",ROUND((H43+IF(I43="",0,I43))/(AF43/3.305785),0)),IF(COUNTIFS($B$13:$B$112,B43,$D$13:$D$112,"")&gt;0,"",ROUND((H43+IF(I43="",0,I43))/(SUMIFS($AF$13:$AF$112,$B$13:$B$112,B43)/3.305785),0))))</f>
      </c>
      <c r="Z43" s="44"/>
      <c r="AA43" s="51"/>
      <c r="AB43" s="44"/>
      <c r="AC43" s="50">
        <f>IF($A43="","",IF(O43="공실","공실",IF(O43="자가사용","자가사용",IF(L43="","만료일 없음",IF(L43&lt;$C$6,"만료 경과",IF(L43&lt;=EDATE($C$6,12),"12개월 내","12개월 초과"))))))</f>
      </c>
      <c r="AD43" s="50">
        <f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</c>
      <c r="AE43" s="52">
        <f>IF(OR($A43="",C43=""),"",ROUND(C43*IF($G$9="평",3.305785,1),2))</f>
      </c>
      <c r="AF43" s="52">
        <f>IF(OR($A43="",D43=""),"",ROUND(D43*IF($G$9="평",3.305785,1),2))</f>
      </c>
    </row>
    <row r="44" ht="18" customHeight="1" spans="1:32" x14ac:dyDescent="0.25">
      <c r="A44" s="41"/>
      <c r="B44" s="41"/>
      <c r="C44" s="42"/>
      <c r="D44" s="42"/>
      <c r="E44" s="43"/>
      <c r="F44" s="44"/>
      <c r="G44" s="45"/>
      <c r="H44" s="45"/>
      <c r="I44" s="45"/>
      <c r="J44" s="46"/>
      <c r="K44" s="46"/>
      <c r="L44" s="46"/>
      <c r="M44" s="44"/>
      <c r="N44" s="44"/>
      <c r="O44" s="44"/>
      <c r="P44" s="43"/>
      <c r="Q44" s="47">
        <f>IF(OR($A44="",C44=""),"",AE44/3.305785)</f>
      </c>
      <c r="R44" s="47">
        <f>IF(OR($A44="",D44=""),"",AF44/3.305785)</f>
      </c>
      <c r="S44" s="48">
        <f>IF(OR($A44="",C44="",D44=""),"",IF(C44&gt;0,D44/C44*100,""))</f>
      </c>
      <c r="T44" s="49">
        <f>IF(OR($A44="",O44&lt;&gt;"임대중",F44&lt;&gt;"상가",G44=""),"",G44+H44*100)</f>
      </c>
      <c r="U44" s="50">
        <f>IF(T44="","",IF(T44&lt;=$C$7,"○ 전면적용","× 초과 (5%상한 미적용)"))</f>
      </c>
      <c r="V44" s="50">
        <f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</c>
      <c r="W44" s="50">
        <f>IF($A44="","",IF(O44="공실","공실",IF(O44="자가사용","자가사용",IF(L44="","만료일 없음",IF(L44&lt;$C$6,"만료 +"&amp;TEXT($C$6-L44,"0")&amp;"일",IF(L44-$C$6&lt;=30,"임박 "&amp;TEXT(L44-$C$6,"0")&amp;"일","유효"))))))</f>
      </c>
      <c r="X44" s="49">
        <f>IF(OR($A44="",O44&lt;&gt;"임대중"),"",IF(H44="",0,H44)+IF(I44="",0,I44))</f>
      </c>
      <c r="Y44" s="49">
        <f>IF(OR($A44="",O44&lt;&gt;"임대중",H44=""),"",IF(B44="",IF(D44="","",ROUND((H44+IF(I44="",0,I44))/(AF44/3.305785),0)),IF(COUNTIFS($B$13:$B$112,B44,$D$13:$D$112,"")&gt;0,"",ROUND((H44+IF(I44="",0,I44))/(SUMIFS($AF$13:$AF$112,$B$13:$B$112,B44)/3.305785),0))))</f>
      </c>
      <c r="Z44" s="44"/>
      <c r="AA44" s="51"/>
      <c r="AB44" s="44"/>
      <c r="AC44" s="50">
        <f>IF($A44="","",IF(O44="공실","공실",IF(O44="자가사용","자가사용",IF(L44="","만료일 없음",IF(L44&lt;$C$6,"만료 경과",IF(L44&lt;=EDATE($C$6,12),"12개월 내","12개월 초과"))))))</f>
      </c>
      <c r="AD44" s="50">
        <f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</c>
      <c r="AE44" s="52">
        <f>IF(OR($A44="",C44=""),"",ROUND(C44*IF($G$9="평",3.305785,1),2))</f>
      </c>
      <c r="AF44" s="52">
        <f>IF(OR($A44="",D44=""),"",ROUND(D44*IF($G$9="평",3.305785,1),2))</f>
      </c>
    </row>
    <row r="45" ht="18" customHeight="1" spans="1:32" x14ac:dyDescent="0.25">
      <c r="A45" s="41"/>
      <c r="B45" s="41"/>
      <c r="C45" s="42"/>
      <c r="D45" s="42"/>
      <c r="E45" s="43"/>
      <c r="F45" s="44"/>
      <c r="G45" s="45"/>
      <c r="H45" s="45"/>
      <c r="I45" s="45"/>
      <c r="J45" s="46"/>
      <c r="K45" s="46"/>
      <c r="L45" s="46"/>
      <c r="M45" s="44"/>
      <c r="N45" s="44"/>
      <c r="O45" s="44"/>
      <c r="P45" s="43"/>
      <c r="Q45" s="47">
        <f>IF(OR($A45="",C45=""),"",AE45/3.305785)</f>
      </c>
      <c r="R45" s="47">
        <f>IF(OR($A45="",D45=""),"",AF45/3.305785)</f>
      </c>
      <c r="S45" s="48">
        <f>IF(OR($A45="",C45="",D45=""),"",IF(C45&gt;0,D45/C45*100,""))</f>
      </c>
      <c r="T45" s="49">
        <f>IF(OR($A45="",O45&lt;&gt;"임대중",F45&lt;&gt;"상가",G45=""),"",G45+H45*100)</f>
      </c>
      <c r="U45" s="50">
        <f>IF(T45="","",IF(T45&lt;=$C$7,"○ 전면적용","× 초과 (5%상한 미적용)"))</f>
      </c>
      <c r="V45" s="50">
        <f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</c>
      <c r="W45" s="50">
        <f>IF($A45="","",IF(O45="공실","공실",IF(O45="자가사용","자가사용",IF(L45="","만료일 없음",IF(L45&lt;$C$6,"만료 +"&amp;TEXT($C$6-L45,"0")&amp;"일",IF(L45-$C$6&lt;=30,"임박 "&amp;TEXT(L45-$C$6,"0")&amp;"일","유효"))))))</f>
      </c>
      <c r="X45" s="49">
        <f>IF(OR($A45="",O45&lt;&gt;"임대중"),"",IF(H45="",0,H45)+IF(I45="",0,I45))</f>
      </c>
      <c r="Y45" s="49">
        <f>IF(OR($A45="",O45&lt;&gt;"임대중",H45=""),"",IF(B45="",IF(D45="","",ROUND((H45+IF(I45="",0,I45))/(AF45/3.305785),0)),IF(COUNTIFS($B$13:$B$112,B45,$D$13:$D$112,"")&gt;0,"",ROUND((H45+IF(I45="",0,I45))/(SUMIFS($AF$13:$AF$112,$B$13:$B$112,B45)/3.305785),0))))</f>
      </c>
      <c r="Z45" s="44"/>
      <c r="AA45" s="51"/>
      <c r="AB45" s="44"/>
      <c r="AC45" s="50">
        <f>IF($A45="","",IF(O45="공실","공실",IF(O45="자가사용","자가사용",IF(L45="","만료일 없음",IF(L45&lt;$C$6,"만료 경과",IF(L45&lt;=EDATE($C$6,12),"12개월 내","12개월 초과"))))))</f>
      </c>
      <c r="AD45" s="50">
        <f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</c>
      <c r="AE45" s="52">
        <f>IF(OR($A45="",C45=""),"",ROUND(C45*IF($G$9="평",3.305785,1),2))</f>
      </c>
      <c r="AF45" s="52">
        <f>IF(OR($A45="",D45=""),"",ROUND(D45*IF($G$9="평",3.305785,1),2))</f>
      </c>
    </row>
    <row r="46" ht="18" customHeight="1" spans="1:32" x14ac:dyDescent="0.25">
      <c r="A46" s="41"/>
      <c r="B46" s="41"/>
      <c r="C46" s="42"/>
      <c r="D46" s="42"/>
      <c r="E46" s="43"/>
      <c r="F46" s="44"/>
      <c r="G46" s="45"/>
      <c r="H46" s="45"/>
      <c r="I46" s="45"/>
      <c r="J46" s="46"/>
      <c r="K46" s="46"/>
      <c r="L46" s="46"/>
      <c r="M46" s="44"/>
      <c r="N46" s="44"/>
      <c r="O46" s="44"/>
      <c r="P46" s="43"/>
      <c r="Q46" s="47">
        <f>IF(OR($A46="",C46=""),"",AE46/3.305785)</f>
      </c>
      <c r="R46" s="47">
        <f>IF(OR($A46="",D46=""),"",AF46/3.305785)</f>
      </c>
      <c r="S46" s="48">
        <f>IF(OR($A46="",C46="",D46=""),"",IF(C46&gt;0,D46/C46*100,""))</f>
      </c>
      <c r="T46" s="49">
        <f>IF(OR($A46="",O46&lt;&gt;"임대중",F46&lt;&gt;"상가",G46=""),"",G46+H46*100)</f>
      </c>
      <c r="U46" s="50">
        <f>IF(T46="","",IF(T46&lt;=$C$7,"○ 전면적용","× 초과 (5%상한 미적용)"))</f>
      </c>
      <c r="V46" s="50">
        <f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</c>
      <c r="W46" s="50">
        <f>IF($A46="","",IF(O46="공실","공실",IF(O46="자가사용","자가사용",IF(L46="","만료일 없음",IF(L46&lt;$C$6,"만료 +"&amp;TEXT($C$6-L46,"0")&amp;"일",IF(L46-$C$6&lt;=30,"임박 "&amp;TEXT(L46-$C$6,"0")&amp;"일","유효"))))))</f>
      </c>
      <c r="X46" s="49">
        <f>IF(OR($A46="",O46&lt;&gt;"임대중"),"",IF(H46="",0,H46)+IF(I46="",0,I46))</f>
      </c>
      <c r="Y46" s="49">
        <f>IF(OR($A46="",O46&lt;&gt;"임대중",H46=""),"",IF(B46="",IF(D46="","",ROUND((H46+IF(I46="",0,I46))/(AF46/3.305785),0)),IF(COUNTIFS($B$13:$B$112,B46,$D$13:$D$112,"")&gt;0,"",ROUND((H46+IF(I46="",0,I46))/(SUMIFS($AF$13:$AF$112,$B$13:$B$112,B46)/3.305785),0))))</f>
      </c>
      <c r="Z46" s="44"/>
      <c r="AA46" s="51"/>
      <c r="AB46" s="44"/>
      <c r="AC46" s="50">
        <f>IF($A46="","",IF(O46="공실","공실",IF(O46="자가사용","자가사용",IF(L46="","만료일 없음",IF(L46&lt;$C$6,"만료 경과",IF(L46&lt;=EDATE($C$6,12),"12개월 내","12개월 초과"))))))</f>
      </c>
      <c r="AD46" s="50">
        <f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</c>
      <c r="AE46" s="52">
        <f>IF(OR($A46="",C46=""),"",ROUND(C46*IF($G$9="평",3.305785,1),2))</f>
      </c>
      <c r="AF46" s="52">
        <f>IF(OR($A46="",D46=""),"",ROUND(D46*IF($G$9="평",3.305785,1),2))</f>
      </c>
    </row>
    <row r="47" ht="18" customHeight="1" spans="1:32" x14ac:dyDescent="0.25">
      <c r="A47" s="41"/>
      <c r="B47" s="41"/>
      <c r="C47" s="42"/>
      <c r="D47" s="42"/>
      <c r="E47" s="43"/>
      <c r="F47" s="44"/>
      <c r="G47" s="45"/>
      <c r="H47" s="45"/>
      <c r="I47" s="45"/>
      <c r="J47" s="46"/>
      <c r="K47" s="46"/>
      <c r="L47" s="46"/>
      <c r="M47" s="44"/>
      <c r="N47" s="44"/>
      <c r="O47" s="44"/>
      <c r="P47" s="43"/>
      <c r="Q47" s="47">
        <f>IF(OR($A47="",C47=""),"",AE47/3.305785)</f>
      </c>
      <c r="R47" s="47">
        <f>IF(OR($A47="",D47=""),"",AF47/3.305785)</f>
      </c>
      <c r="S47" s="48">
        <f>IF(OR($A47="",C47="",D47=""),"",IF(C47&gt;0,D47/C47*100,""))</f>
      </c>
      <c r="T47" s="49">
        <f>IF(OR($A47="",O47&lt;&gt;"임대중",F47&lt;&gt;"상가",G47=""),"",G47+H47*100)</f>
      </c>
      <c r="U47" s="50">
        <f>IF(T47="","",IF(T47&lt;=$C$7,"○ 전면적용","× 초과 (5%상한 미적용)"))</f>
      </c>
      <c r="V47" s="50">
        <f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</c>
      <c r="W47" s="50">
        <f>IF($A47="","",IF(O47="공실","공실",IF(O47="자가사용","자가사용",IF(L47="","만료일 없음",IF(L47&lt;$C$6,"만료 +"&amp;TEXT($C$6-L47,"0")&amp;"일",IF(L47-$C$6&lt;=30,"임박 "&amp;TEXT(L47-$C$6,"0")&amp;"일","유효"))))))</f>
      </c>
      <c r="X47" s="49">
        <f>IF(OR($A47="",O47&lt;&gt;"임대중"),"",IF(H47="",0,H47)+IF(I47="",0,I47))</f>
      </c>
      <c r="Y47" s="49">
        <f>IF(OR($A47="",O47&lt;&gt;"임대중",H47=""),"",IF(B47="",IF(D47="","",ROUND((H47+IF(I47="",0,I47))/(AF47/3.305785),0)),IF(COUNTIFS($B$13:$B$112,B47,$D$13:$D$112,"")&gt;0,"",ROUND((H47+IF(I47="",0,I47))/(SUMIFS($AF$13:$AF$112,$B$13:$B$112,B47)/3.305785),0))))</f>
      </c>
      <c r="Z47" s="44"/>
      <c r="AA47" s="51"/>
      <c r="AB47" s="44"/>
      <c r="AC47" s="50">
        <f>IF($A47="","",IF(O47="공실","공실",IF(O47="자가사용","자가사용",IF(L47="","만료일 없음",IF(L47&lt;$C$6,"만료 경과",IF(L47&lt;=EDATE($C$6,12),"12개월 내","12개월 초과"))))))</f>
      </c>
      <c r="AD47" s="50">
        <f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</c>
      <c r="AE47" s="52">
        <f>IF(OR($A47="",C47=""),"",ROUND(C47*IF($G$9="평",3.305785,1),2))</f>
      </c>
      <c r="AF47" s="52">
        <f>IF(OR($A47="",D47=""),"",ROUND(D47*IF($G$9="평",3.305785,1),2))</f>
      </c>
    </row>
    <row r="48" ht="18" customHeight="1" spans="1:32" x14ac:dyDescent="0.25">
      <c r="A48" s="41"/>
      <c r="B48" s="41"/>
      <c r="C48" s="42"/>
      <c r="D48" s="42"/>
      <c r="E48" s="43"/>
      <c r="F48" s="44"/>
      <c r="G48" s="45"/>
      <c r="H48" s="45"/>
      <c r="I48" s="45"/>
      <c r="J48" s="46"/>
      <c r="K48" s="46"/>
      <c r="L48" s="46"/>
      <c r="M48" s="44"/>
      <c r="N48" s="44"/>
      <c r="O48" s="44"/>
      <c r="P48" s="43"/>
      <c r="Q48" s="47">
        <f>IF(OR($A48="",C48=""),"",AE48/3.305785)</f>
      </c>
      <c r="R48" s="47">
        <f>IF(OR($A48="",D48=""),"",AF48/3.305785)</f>
      </c>
      <c r="S48" s="48">
        <f>IF(OR($A48="",C48="",D48=""),"",IF(C48&gt;0,D48/C48*100,""))</f>
      </c>
      <c r="T48" s="49">
        <f>IF(OR($A48="",O48&lt;&gt;"임대중",F48&lt;&gt;"상가",G48=""),"",G48+H48*100)</f>
      </c>
      <c r="U48" s="50">
        <f>IF(T48="","",IF(T48&lt;=$C$7,"○ 전면적용","× 초과 (5%상한 미적용)"))</f>
      </c>
      <c r="V48" s="50">
        <f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</c>
      <c r="W48" s="50">
        <f>IF($A48="","",IF(O48="공실","공실",IF(O48="자가사용","자가사용",IF(L48="","만료일 없음",IF(L48&lt;$C$6,"만료 +"&amp;TEXT($C$6-L48,"0")&amp;"일",IF(L48-$C$6&lt;=30,"임박 "&amp;TEXT(L48-$C$6,"0")&amp;"일","유효"))))))</f>
      </c>
      <c r="X48" s="49">
        <f>IF(OR($A48="",O48&lt;&gt;"임대중"),"",IF(H48="",0,H48)+IF(I48="",0,I48))</f>
      </c>
      <c r="Y48" s="49">
        <f>IF(OR($A48="",O48&lt;&gt;"임대중",H48=""),"",IF(B48="",IF(D48="","",ROUND((H48+IF(I48="",0,I48))/(AF48/3.305785),0)),IF(COUNTIFS($B$13:$B$112,B48,$D$13:$D$112,"")&gt;0,"",ROUND((H48+IF(I48="",0,I48))/(SUMIFS($AF$13:$AF$112,$B$13:$B$112,B48)/3.305785),0))))</f>
      </c>
      <c r="Z48" s="44"/>
      <c r="AA48" s="51"/>
      <c r="AB48" s="44"/>
      <c r="AC48" s="50">
        <f>IF($A48="","",IF(O48="공실","공실",IF(O48="자가사용","자가사용",IF(L48="","만료일 없음",IF(L48&lt;$C$6,"만료 경과",IF(L48&lt;=EDATE($C$6,12),"12개월 내","12개월 초과"))))))</f>
      </c>
      <c r="AD48" s="50">
        <f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</c>
      <c r="AE48" s="52">
        <f>IF(OR($A48="",C48=""),"",ROUND(C48*IF($G$9="평",3.305785,1),2))</f>
      </c>
      <c r="AF48" s="52">
        <f>IF(OR($A48="",D48=""),"",ROUND(D48*IF($G$9="평",3.305785,1),2))</f>
      </c>
    </row>
    <row r="49" ht="18" customHeight="1" spans="1:32" x14ac:dyDescent="0.25">
      <c r="A49" s="41"/>
      <c r="B49" s="41"/>
      <c r="C49" s="42"/>
      <c r="D49" s="42"/>
      <c r="E49" s="43"/>
      <c r="F49" s="44"/>
      <c r="G49" s="45"/>
      <c r="H49" s="45"/>
      <c r="I49" s="45"/>
      <c r="J49" s="46"/>
      <c r="K49" s="46"/>
      <c r="L49" s="46"/>
      <c r="M49" s="44"/>
      <c r="N49" s="44"/>
      <c r="O49" s="44"/>
      <c r="P49" s="43"/>
      <c r="Q49" s="47">
        <f>IF(OR($A49="",C49=""),"",AE49/3.305785)</f>
      </c>
      <c r="R49" s="47">
        <f>IF(OR($A49="",D49=""),"",AF49/3.305785)</f>
      </c>
      <c r="S49" s="48">
        <f>IF(OR($A49="",C49="",D49=""),"",IF(C49&gt;0,D49/C49*100,""))</f>
      </c>
      <c r="T49" s="49">
        <f>IF(OR($A49="",O49&lt;&gt;"임대중",F49&lt;&gt;"상가",G49=""),"",G49+H49*100)</f>
      </c>
      <c r="U49" s="50">
        <f>IF(T49="","",IF(T49&lt;=$C$7,"○ 전면적용","× 초과 (5%상한 미적용)"))</f>
      </c>
      <c r="V49" s="50">
        <f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</c>
      <c r="W49" s="50">
        <f>IF($A49="","",IF(O49="공실","공실",IF(O49="자가사용","자가사용",IF(L49="","만료일 없음",IF(L49&lt;$C$6,"만료 +"&amp;TEXT($C$6-L49,"0")&amp;"일",IF(L49-$C$6&lt;=30,"임박 "&amp;TEXT(L49-$C$6,"0")&amp;"일","유효"))))))</f>
      </c>
      <c r="X49" s="49">
        <f>IF(OR($A49="",O49&lt;&gt;"임대중"),"",IF(H49="",0,H49)+IF(I49="",0,I49))</f>
      </c>
      <c r="Y49" s="49">
        <f>IF(OR($A49="",O49&lt;&gt;"임대중",H49=""),"",IF(B49="",IF(D49="","",ROUND((H49+IF(I49="",0,I49))/(AF49/3.305785),0)),IF(COUNTIFS($B$13:$B$112,B49,$D$13:$D$112,"")&gt;0,"",ROUND((H49+IF(I49="",0,I49))/(SUMIFS($AF$13:$AF$112,$B$13:$B$112,B49)/3.305785),0))))</f>
      </c>
      <c r="Z49" s="44"/>
      <c r="AA49" s="51"/>
      <c r="AB49" s="44"/>
      <c r="AC49" s="50">
        <f>IF($A49="","",IF(O49="공실","공실",IF(O49="자가사용","자가사용",IF(L49="","만료일 없음",IF(L49&lt;$C$6,"만료 경과",IF(L49&lt;=EDATE($C$6,12),"12개월 내","12개월 초과"))))))</f>
      </c>
      <c r="AD49" s="50">
        <f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</c>
      <c r="AE49" s="52">
        <f>IF(OR($A49="",C49=""),"",ROUND(C49*IF($G$9="평",3.305785,1),2))</f>
      </c>
      <c r="AF49" s="52">
        <f>IF(OR($A49="",D49=""),"",ROUND(D49*IF($G$9="평",3.305785,1),2))</f>
      </c>
    </row>
    <row r="50" ht="18" customHeight="1" spans="1:32" x14ac:dyDescent="0.25">
      <c r="A50" s="41"/>
      <c r="B50" s="41"/>
      <c r="C50" s="42"/>
      <c r="D50" s="42"/>
      <c r="E50" s="43"/>
      <c r="F50" s="44"/>
      <c r="G50" s="45"/>
      <c r="H50" s="45"/>
      <c r="I50" s="45"/>
      <c r="J50" s="46"/>
      <c r="K50" s="46"/>
      <c r="L50" s="46"/>
      <c r="M50" s="44"/>
      <c r="N50" s="44"/>
      <c r="O50" s="44"/>
      <c r="P50" s="43"/>
      <c r="Q50" s="47">
        <f>IF(OR($A50="",C50=""),"",AE50/3.305785)</f>
      </c>
      <c r="R50" s="47">
        <f>IF(OR($A50="",D50=""),"",AF50/3.305785)</f>
      </c>
      <c r="S50" s="48">
        <f>IF(OR($A50="",C50="",D50=""),"",IF(C50&gt;0,D50/C50*100,""))</f>
      </c>
      <c r="T50" s="49">
        <f>IF(OR($A50="",O50&lt;&gt;"임대중",F50&lt;&gt;"상가",G50=""),"",G50+H50*100)</f>
      </c>
      <c r="U50" s="50">
        <f>IF(T50="","",IF(T50&lt;=$C$7,"○ 전면적용","× 초과 (5%상한 미적용)"))</f>
      </c>
      <c r="V50" s="50">
        <f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</c>
      <c r="W50" s="50">
        <f>IF($A50="","",IF(O50="공실","공실",IF(O50="자가사용","자가사용",IF(L50="","만료일 없음",IF(L50&lt;$C$6,"만료 +"&amp;TEXT($C$6-L50,"0")&amp;"일",IF(L50-$C$6&lt;=30,"임박 "&amp;TEXT(L50-$C$6,"0")&amp;"일","유효"))))))</f>
      </c>
      <c r="X50" s="49">
        <f>IF(OR($A50="",O50&lt;&gt;"임대중"),"",IF(H50="",0,H50)+IF(I50="",0,I50))</f>
      </c>
      <c r="Y50" s="49">
        <f>IF(OR($A50="",O50&lt;&gt;"임대중",H50=""),"",IF(B50="",IF(D50="","",ROUND((H50+IF(I50="",0,I50))/(AF50/3.305785),0)),IF(COUNTIFS($B$13:$B$112,B50,$D$13:$D$112,"")&gt;0,"",ROUND((H50+IF(I50="",0,I50))/(SUMIFS($AF$13:$AF$112,$B$13:$B$112,B50)/3.305785),0))))</f>
      </c>
      <c r="Z50" s="44"/>
      <c r="AA50" s="51"/>
      <c r="AB50" s="44"/>
      <c r="AC50" s="50">
        <f>IF($A50="","",IF(O50="공실","공실",IF(O50="자가사용","자가사용",IF(L50="","만료일 없음",IF(L50&lt;$C$6,"만료 경과",IF(L50&lt;=EDATE($C$6,12),"12개월 내","12개월 초과"))))))</f>
      </c>
      <c r="AD50" s="50">
        <f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</c>
      <c r="AE50" s="52">
        <f>IF(OR($A50="",C50=""),"",ROUND(C50*IF($G$9="평",3.305785,1),2))</f>
      </c>
      <c r="AF50" s="52">
        <f>IF(OR($A50="",D50=""),"",ROUND(D50*IF($G$9="평",3.305785,1),2))</f>
      </c>
    </row>
    <row r="51" ht="18" customHeight="1" spans="1:32" x14ac:dyDescent="0.25">
      <c r="A51" s="41"/>
      <c r="B51" s="41"/>
      <c r="C51" s="42"/>
      <c r="D51" s="42"/>
      <c r="E51" s="43"/>
      <c r="F51" s="44"/>
      <c r="G51" s="45"/>
      <c r="H51" s="45"/>
      <c r="I51" s="45"/>
      <c r="J51" s="46"/>
      <c r="K51" s="46"/>
      <c r="L51" s="46"/>
      <c r="M51" s="44"/>
      <c r="N51" s="44"/>
      <c r="O51" s="44"/>
      <c r="P51" s="43"/>
      <c r="Q51" s="47">
        <f>IF(OR($A51="",C51=""),"",AE51/3.305785)</f>
      </c>
      <c r="R51" s="47">
        <f>IF(OR($A51="",D51=""),"",AF51/3.305785)</f>
      </c>
      <c r="S51" s="48">
        <f>IF(OR($A51="",C51="",D51=""),"",IF(C51&gt;0,D51/C51*100,""))</f>
      </c>
      <c r="T51" s="49">
        <f>IF(OR($A51="",O51&lt;&gt;"임대중",F51&lt;&gt;"상가",G51=""),"",G51+H51*100)</f>
      </c>
      <c r="U51" s="50">
        <f>IF(T51="","",IF(T51&lt;=$C$7,"○ 전면적용","× 초과 (5%상한 미적용)"))</f>
      </c>
      <c r="V51" s="50">
        <f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</c>
      <c r="W51" s="50">
        <f>IF($A51="","",IF(O51="공실","공실",IF(O51="자가사용","자가사용",IF(L51="","만료일 없음",IF(L51&lt;$C$6,"만료 +"&amp;TEXT($C$6-L51,"0")&amp;"일",IF(L51-$C$6&lt;=30,"임박 "&amp;TEXT(L51-$C$6,"0")&amp;"일","유효"))))))</f>
      </c>
      <c r="X51" s="49">
        <f>IF(OR($A51="",O51&lt;&gt;"임대중"),"",IF(H51="",0,H51)+IF(I51="",0,I51))</f>
      </c>
      <c r="Y51" s="49">
        <f>IF(OR($A51="",O51&lt;&gt;"임대중",H51=""),"",IF(B51="",IF(D51="","",ROUND((H51+IF(I51="",0,I51))/(AF51/3.305785),0)),IF(COUNTIFS($B$13:$B$112,B51,$D$13:$D$112,"")&gt;0,"",ROUND((H51+IF(I51="",0,I51))/(SUMIFS($AF$13:$AF$112,$B$13:$B$112,B51)/3.305785),0))))</f>
      </c>
      <c r="Z51" s="44"/>
      <c r="AA51" s="51"/>
      <c r="AB51" s="44"/>
      <c r="AC51" s="50">
        <f>IF($A51="","",IF(O51="공실","공실",IF(O51="자가사용","자가사용",IF(L51="","만료일 없음",IF(L51&lt;$C$6,"만료 경과",IF(L51&lt;=EDATE($C$6,12),"12개월 내","12개월 초과"))))))</f>
      </c>
      <c r="AD51" s="50">
        <f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</c>
      <c r="AE51" s="52">
        <f>IF(OR($A51="",C51=""),"",ROUND(C51*IF($G$9="평",3.305785,1),2))</f>
      </c>
      <c r="AF51" s="52">
        <f>IF(OR($A51="",D51=""),"",ROUND(D51*IF($G$9="평",3.305785,1),2))</f>
      </c>
    </row>
    <row r="52" ht="18" customHeight="1" spans="1:32" x14ac:dyDescent="0.25">
      <c r="A52" s="41"/>
      <c r="B52" s="41"/>
      <c r="C52" s="42"/>
      <c r="D52" s="42"/>
      <c r="E52" s="43"/>
      <c r="F52" s="44"/>
      <c r="G52" s="45"/>
      <c r="H52" s="45"/>
      <c r="I52" s="45"/>
      <c r="J52" s="46"/>
      <c r="K52" s="46"/>
      <c r="L52" s="46"/>
      <c r="M52" s="44"/>
      <c r="N52" s="44"/>
      <c r="O52" s="44"/>
      <c r="P52" s="43"/>
      <c r="Q52" s="47">
        <f>IF(OR($A52="",C52=""),"",AE52/3.305785)</f>
      </c>
      <c r="R52" s="47">
        <f>IF(OR($A52="",D52=""),"",AF52/3.305785)</f>
      </c>
      <c r="S52" s="48">
        <f>IF(OR($A52="",C52="",D52=""),"",IF(C52&gt;0,D52/C52*100,""))</f>
      </c>
      <c r="T52" s="49">
        <f>IF(OR($A52="",O52&lt;&gt;"임대중",F52&lt;&gt;"상가",G52=""),"",G52+H52*100)</f>
      </c>
      <c r="U52" s="50">
        <f>IF(T52="","",IF(T52&lt;=$C$7,"○ 전면적용","× 초과 (5%상한 미적용)"))</f>
      </c>
      <c r="V52" s="50">
        <f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</c>
      <c r="W52" s="50">
        <f>IF($A52="","",IF(O52="공실","공실",IF(O52="자가사용","자가사용",IF(L52="","만료일 없음",IF(L52&lt;$C$6,"만료 +"&amp;TEXT($C$6-L52,"0")&amp;"일",IF(L52-$C$6&lt;=30,"임박 "&amp;TEXT(L52-$C$6,"0")&amp;"일","유효"))))))</f>
      </c>
      <c r="X52" s="49">
        <f>IF(OR($A52="",O52&lt;&gt;"임대중"),"",IF(H52="",0,H52)+IF(I52="",0,I52))</f>
      </c>
      <c r="Y52" s="49">
        <f>IF(OR($A52="",O52&lt;&gt;"임대중",H52=""),"",IF(B52="",IF(D52="","",ROUND((H52+IF(I52="",0,I52))/(AF52/3.305785),0)),IF(COUNTIFS($B$13:$B$112,B52,$D$13:$D$112,"")&gt;0,"",ROUND((H52+IF(I52="",0,I52))/(SUMIFS($AF$13:$AF$112,$B$13:$B$112,B52)/3.305785),0))))</f>
      </c>
      <c r="Z52" s="44"/>
      <c r="AA52" s="51"/>
      <c r="AB52" s="44"/>
      <c r="AC52" s="50">
        <f>IF($A52="","",IF(O52="공실","공실",IF(O52="자가사용","자가사용",IF(L52="","만료일 없음",IF(L52&lt;$C$6,"만료 경과",IF(L52&lt;=EDATE($C$6,12),"12개월 내","12개월 초과"))))))</f>
      </c>
      <c r="AD52" s="50">
        <f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</c>
      <c r="AE52" s="52">
        <f>IF(OR($A52="",C52=""),"",ROUND(C52*IF($G$9="평",3.305785,1),2))</f>
      </c>
      <c r="AF52" s="52">
        <f>IF(OR($A52="",D52=""),"",ROUND(D52*IF($G$9="평",3.305785,1),2))</f>
      </c>
    </row>
    <row r="53" ht="18" customHeight="1" spans="1:32" x14ac:dyDescent="0.25">
      <c r="A53" s="41"/>
      <c r="B53" s="41"/>
      <c r="C53" s="42"/>
      <c r="D53" s="42"/>
      <c r="E53" s="43"/>
      <c r="F53" s="44"/>
      <c r="G53" s="45"/>
      <c r="H53" s="45"/>
      <c r="I53" s="45"/>
      <c r="J53" s="46"/>
      <c r="K53" s="46"/>
      <c r="L53" s="46"/>
      <c r="M53" s="44"/>
      <c r="N53" s="44"/>
      <c r="O53" s="44"/>
      <c r="P53" s="43"/>
      <c r="Q53" s="47">
        <f>IF(OR($A53="",C53=""),"",AE53/3.305785)</f>
      </c>
      <c r="R53" s="47">
        <f>IF(OR($A53="",D53=""),"",AF53/3.305785)</f>
      </c>
      <c r="S53" s="48">
        <f>IF(OR($A53="",C53="",D53=""),"",IF(C53&gt;0,D53/C53*100,""))</f>
      </c>
      <c r="T53" s="49">
        <f>IF(OR($A53="",O53&lt;&gt;"임대중",F53&lt;&gt;"상가",G53=""),"",G53+H53*100)</f>
      </c>
      <c r="U53" s="50">
        <f>IF(T53="","",IF(T53&lt;=$C$7,"○ 전면적용","× 초과 (5%상한 미적용)"))</f>
      </c>
      <c r="V53" s="50">
        <f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</c>
      <c r="W53" s="50">
        <f>IF($A53="","",IF(O53="공실","공실",IF(O53="자가사용","자가사용",IF(L53="","만료일 없음",IF(L53&lt;$C$6,"만료 +"&amp;TEXT($C$6-L53,"0")&amp;"일",IF(L53-$C$6&lt;=30,"임박 "&amp;TEXT(L53-$C$6,"0")&amp;"일","유효"))))))</f>
      </c>
      <c r="X53" s="49">
        <f>IF(OR($A53="",O53&lt;&gt;"임대중"),"",IF(H53="",0,H53)+IF(I53="",0,I53))</f>
      </c>
      <c r="Y53" s="49">
        <f>IF(OR($A53="",O53&lt;&gt;"임대중",H53=""),"",IF(B53="",IF(D53="","",ROUND((H53+IF(I53="",0,I53))/(AF53/3.305785),0)),IF(COUNTIFS($B$13:$B$112,B53,$D$13:$D$112,"")&gt;0,"",ROUND((H53+IF(I53="",0,I53))/(SUMIFS($AF$13:$AF$112,$B$13:$B$112,B53)/3.305785),0))))</f>
      </c>
      <c r="Z53" s="44"/>
      <c r="AA53" s="51"/>
      <c r="AB53" s="44"/>
      <c r="AC53" s="50">
        <f>IF($A53="","",IF(O53="공실","공실",IF(O53="자가사용","자가사용",IF(L53="","만료일 없음",IF(L53&lt;$C$6,"만료 경과",IF(L53&lt;=EDATE($C$6,12),"12개월 내","12개월 초과"))))))</f>
      </c>
      <c r="AD53" s="50">
        <f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</c>
      <c r="AE53" s="52">
        <f>IF(OR($A53="",C53=""),"",ROUND(C53*IF($G$9="평",3.305785,1),2))</f>
      </c>
      <c r="AF53" s="52">
        <f>IF(OR($A53="",D53=""),"",ROUND(D53*IF($G$9="평",3.305785,1),2))</f>
      </c>
    </row>
    <row r="54" ht="18" customHeight="1" spans="1:32" x14ac:dyDescent="0.25">
      <c r="A54" s="41"/>
      <c r="B54" s="41"/>
      <c r="C54" s="42"/>
      <c r="D54" s="42"/>
      <c r="E54" s="43"/>
      <c r="F54" s="44"/>
      <c r="G54" s="45"/>
      <c r="H54" s="45"/>
      <c r="I54" s="45"/>
      <c r="J54" s="46"/>
      <c r="K54" s="46"/>
      <c r="L54" s="46"/>
      <c r="M54" s="44"/>
      <c r="N54" s="44"/>
      <c r="O54" s="44"/>
      <c r="P54" s="43"/>
      <c r="Q54" s="47">
        <f>IF(OR($A54="",C54=""),"",AE54/3.305785)</f>
      </c>
      <c r="R54" s="47">
        <f>IF(OR($A54="",D54=""),"",AF54/3.305785)</f>
      </c>
      <c r="S54" s="48">
        <f>IF(OR($A54="",C54="",D54=""),"",IF(C54&gt;0,D54/C54*100,""))</f>
      </c>
      <c r="T54" s="49">
        <f>IF(OR($A54="",O54&lt;&gt;"임대중",F54&lt;&gt;"상가",G54=""),"",G54+H54*100)</f>
      </c>
      <c r="U54" s="50">
        <f>IF(T54="","",IF(T54&lt;=$C$7,"○ 전면적용","× 초과 (5%상한 미적용)"))</f>
      </c>
      <c r="V54" s="50">
        <f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</c>
      <c r="W54" s="50">
        <f>IF($A54="","",IF(O54="공실","공실",IF(O54="자가사용","자가사용",IF(L54="","만료일 없음",IF(L54&lt;$C$6,"만료 +"&amp;TEXT($C$6-L54,"0")&amp;"일",IF(L54-$C$6&lt;=30,"임박 "&amp;TEXT(L54-$C$6,"0")&amp;"일","유효"))))))</f>
      </c>
      <c r="X54" s="49">
        <f>IF(OR($A54="",O54&lt;&gt;"임대중"),"",IF(H54="",0,H54)+IF(I54="",0,I54))</f>
      </c>
      <c r="Y54" s="49">
        <f>IF(OR($A54="",O54&lt;&gt;"임대중",H54=""),"",IF(B54="",IF(D54="","",ROUND((H54+IF(I54="",0,I54))/(AF54/3.305785),0)),IF(COUNTIFS($B$13:$B$112,B54,$D$13:$D$112,"")&gt;0,"",ROUND((H54+IF(I54="",0,I54))/(SUMIFS($AF$13:$AF$112,$B$13:$B$112,B54)/3.305785),0))))</f>
      </c>
      <c r="Z54" s="44"/>
      <c r="AA54" s="51"/>
      <c r="AB54" s="44"/>
      <c r="AC54" s="50">
        <f>IF($A54="","",IF(O54="공실","공실",IF(O54="자가사용","자가사용",IF(L54="","만료일 없음",IF(L54&lt;$C$6,"만료 경과",IF(L54&lt;=EDATE($C$6,12),"12개월 내","12개월 초과"))))))</f>
      </c>
      <c r="AD54" s="50">
        <f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</c>
      <c r="AE54" s="52">
        <f>IF(OR($A54="",C54=""),"",ROUND(C54*IF($G$9="평",3.305785,1),2))</f>
      </c>
      <c r="AF54" s="52">
        <f>IF(OR($A54="",D54=""),"",ROUND(D54*IF($G$9="평",3.305785,1),2))</f>
      </c>
    </row>
    <row r="55" ht="18" customHeight="1" spans="1:32" x14ac:dyDescent="0.25">
      <c r="A55" s="41"/>
      <c r="B55" s="41"/>
      <c r="C55" s="42"/>
      <c r="D55" s="42"/>
      <c r="E55" s="43"/>
      <c r="F55" s="44"/>
      <c r="G55" s="45"/>
      <c r="H55" s="45"/>
      <c r="I55" s="45"/>
      <c r="J55" s="46"/>
      <c r="K55" s="46"/>
      <c r="L55" s="46"/>
      <c r="M55" s="44"/>
      <c r="N55" s="44"/>
      <c r="O55" s="44"/>
      <c r="P55" s="43"/>
      <c r="Q55" s="47">
        <f>IF(OR($A55="",C55=""),"",AE55/3.305785)</f>
      </c>
      <c r="R55" s="47">
        <f>IF(OR($A55="",D55=""),"",AF55/3.305785)</f>
      </c>
      <c r="S55" s="48">
        <f>IF(OR($A55="",C55="",D55=""),"",IF(C55&gt;0,D55/C55*100,""))</f>
      </c>
      <c r="T55" s="49">
        <f>IF(OR($A55="",O55&lt;&gt;"임대중",F55&lt;&gt;"상가",G55=""),"",G55+H55*100)</f>
      </c>
      <c r="U55" s="50">
        <f>IF(T55="","",IF(T55&lt;=$C$7,"○ 전면적용","× 초과 (5%상한 미적용)"))</f>
      </c>
      <c r="V55" s="50">
        <f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</c>
      <c r="W55" s="50">
        <f>IF($A55="","",IF(O55="공실","공실",IF(O55="자가사용","자가사용",IF(L55="","만료일 없음",IF(L55&lt;$C$6,"만료 +"&amp;TEXT($C$6-L55,"0")&amp;"일",IF(L55-$C$6&lt;=30,"임박 "&amp;TEXT(L55-$C$6,"0")&amp;"일","유효"))))))</f>
      </c>
      <c r="X55" s="49">
        <f>IF(OR($A55="",O55&lt;&gt;"임대중"),"",IF(H55="",0,H55)+IF(I55="",0,I55))</f>
      </c>
      <c r="Y55" s="49">
        <f>IF(OR($A55="",O55&lt;&gt;"임대중",H55=""),"",IF(B55="",IF(D55="","",ROUND((H55+IF(I55="",0,I55))/(AF55/3.305785),0)),IF(COUNTIFS($B$13:$B$112,B55,$D$13:$D$112,"")&gt;0,"",ROUND((H55+IF(I55="",0,I55))/(SUMIFS($AF$13:$AF$112,$B$13:$B$112,B55)/3.305785),0))))</f>
      </c>
      <c r="Z55" s="44"/>
      <c r="AA55" s="51"/>
      <c r="AB55" s="44"/>
      <c r="AC55" s="50">
        <f>IF($A55="","",IF(O55="공실","공실",IF(O55="자가사용","자가사용",IF(L55="","만료일 없음",IF(L55&lt;$C$6,"만료 경과",IF(L55&lt;=EDATE($C$6,12),"12개월 내","12개월 초과"))))))</f>
      </c>
      <c r="AD55" s="50">
        <f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</c>
      <c r="AE55" s="52">
        <f>IF(OR($A55="",C55=""),"",ROUND(C55*IF($G$9="평",3.305785,1),2))</f>
      </c>
      <c r="AF55" s="52">
        <f>IF(OR($A55="",D55=""),"",ROUND(D55*IF($G$9="평",3.305785,1),2))</f>
      </c>
    </row>
    <row r="56" ht="18" customHeight="1" spans="1:32" x14ac:dyDescent="0.25">
      <c r="A56" s="41"/>
      <c r="B56" s="41"/>
      <c r="C56" s="42"/>
      <c r="D56" s="42"/>
      <c r="E56" s="43"/>
      <c r="F56" s="44"/>
      <c r="G56" s="45"/>
      <c r="H56" s="45"/>
      <c r="I56" s="45"/>
      <c r="J56" s="46"/>
      <c r="K56" s="46"/>
      <c r="L56" s="46"/>
      <c r="M56" s="44"/>
      <c r="N56" s="44"/>
      <c r="O56" s="44"/>
      <c r="P56" s="43"/>
      <c r="Q56" s="47">
        <f>IF(OR($A56="",C56=""),"",AE56/3.305785)</f>
      </c>
      <c r="R56" s="47">
        <f>IF(OR($A56="",D56=""),"",AF56/3.305785)</f>
      </c>
      <c r="S56" s="48">
        <f>IF(OR($A56="",C56="",D56=""),"",IF(C56&gt;0,D56/C56*100,""))</f>
      </c>
      <c r="T56" s="49">
        <f>IF(OR($A56="",O56&lt;&gt;"임대중",F56&lt;&gt;"상가",G56=""),"",G56+H56*100)</f>
      </c>
      <c r="U56" s="50">
        <f>IF(T56="","",IF(T56&lt;=$C$7,"○ 전면적용","× 초과 (5%상한 미적용)"))</f>
      </c>
      <c r="V56" s="50">
        <f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</c>
      <c r="W56" s="50">
        <f>IF($A56="","",IF(O56="공실","공실",IF(O56="자가사용","자가사용",IF(L56="","만료일 없음",IF(L56&lt;$C$6,"만료 +"&amp;TEXT($C$6-L56,"0")&amp;"일",IF(L56-$C$6&lt;=30,"임박 "&amp;TEXT(L56-$C$6,"0")&amp;"일","유효"))))))</f>
      </c>
      <c r="X56" s="49">
        <f>IF(OR($A56="",O56&lt;&gt;"임대중"),"",IF(H56="",0,H56)+IF(I56="",0,I56))</f>
      </c>
      <c r="Y56" s="49">
        <f>IF(OR($A56="",O56&lt;&gt;"임대중",H56=""),"",IF(B56="",IF(D56="","",ROUND((H56+IF(I56="",0,I56))/(AF56/3.305785),0)),IF(COUNTIFS($B$13:$B$112,B56,$D$13:$D$112,"")&gt;0,"",ROUND((H56+IF(I56="",0,I56))/(SUMIFS($AF$13:$AF$112,$B$13:$B$112,B56)/3.305785),0))))</f>
      </c>
      <c r="Z56" s="44"/>
      <c r="AA56" s="51"/>
      <c r="AB56" s="44"/>
      <c r="AC56" s="50">
        <f>IF($A56="","",IF(O56="공실","공실",IF(O56="자가사용","자가사용",IF(L56="","만료일 없음",IF(L56&lt;$C$6,"만료 경과",IF(L56&lt;=EDATE($C$6,12),"12개월 내","12개월 초과"))))))</f>
      </c>
      <c r="AD56" s="50">
        <f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</c>
      <c r="AE56" s="52">
        <f>IF(OR($A56="",C56=""),"",ROUND(C56*IF($G$9="평",3.305785,1),2))</f>
      </c>
      <c r="AF56" s="52">
        <f>IF(OR($A56="",D56=""),"",ROUND(D56*IF($G$9="평",3.305785,1),2))</f>
      </c>
    </row>
    <row r="57" ht="18" customHeight="1" spans="1:32" x14ac:dyDescent="0.25">
      <c r="A57" s="41"/>
      <c r="B57" s="41"/>
      <c r="C57" s="42"/>
      <c r="D57" s="42"/>
      <c r="E57" s="43"/>
      <c r="F57" s="44"/>
      <c r="G57" s="45"/>
      <c r="H57" s="45"/>
      <c r="I57" s="45"/>
      <c r="J57" s="46"/>
      <c r="K57" s="46"/>
      <c r="L57" s="46"/>
      <c r="M57" s="44"/>
      <c r="N57" s="44"/>
      <c r="O57" s="44"/>
      <c r="P57" s="43"/>
      <c r="Q57" s="47">
        <f>IF(OR($A57="",C57=""),"",AE57/3.305785)</f>
      </c>
      <c r="R57" s="47">
        <f>IF(OR($A57="",D57=""),"",AF57/3.305785)</f>
      </c>
      <c r="S57" s="48">
        <f>IF(OR($A57="",C57="",D57=""),"",IF(C57&gt;0,D57/C57*100,""))</f>
      </c>
      <c r="T57" s="49">
        <f>IF(OR($A57="",O57&lt;&gt;"임대중",F57&lt;&gt;"상가",G57=""),"",G57+H57*100)</f>
      </c>
      <c r="U57" s="50">
        <f>IF(T57="","",IF(T57&lt;=$C$7,"○ 전면적용","× 초과 (5%상한 미적용)"))</f>
      </c>
      <c r="V57" s="50">
        <f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</c>
      <c r="W57" s="50">
        <f>IF($A57="","",IF(O57="공실","공실",IF(O57="자가사용","자가사용",IF(L57="","만료일 없음",IF(L57&lt;$C$6,"만료 +"&amp;TEXT($C$6-L57,"0")&amp;"일",IF(L57-$C$6&lt;=30,"임박 "&amp;TEXT(L57-$C$6,"0")&amp;"일","유효"))))))</f>
      </c>
      <c r="X57" s="49">
        <f>IF(OR($A57="",O57&lt;&gt;"임대중"),"",IF(H57="",0,H57)+IF(I57="",0,I57))</f>
      </c>
      <c r="Y57" s="49">
        <f>IF(OR($A57="",O57&lt;&gt;"임대중",H57=""),"",IF(B57="",IF(D57="","",ROUND((H57+IF(I57="",0,I57))/(AF57/3.305785),0)),IF(COUNTIFS($B$13:$B$112,B57,$D$13:$D$112,"")&gt;0,"",ROUND((H57+IF(I57="",0,I57))/(SUMIFS($AF$13:$AF$112,$B$13:$B$112,B57)/3.305785),0))))</f>
      </c>
      <c r="Z57" s="44"/>
      <c r="AA57" s="51"/>
      <c r="AB57" s="44"/>
      <c r="AC57" s="50">
        <f>IF($A57="","",IF(O57="공실","공실",IF(O57="자가사용","자가사용",IF(L57="","만료일 없음",IF(L57&lt;$C$6,"만료 경과",IF(L57&lt;=EDATE($C$6,12),"12개월 내","12개월 초과"))))))</f>
      </c>
      <c r="AD57" s="50">
        <f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</c>
      <c r="AE57" s="52">
        <f>IF(OR($A57="",C57=""),"",ROUND(C57*IF($G$9="평",3.305785,1),2))</f>
      </c>
      <c r="AF57" s="52">
        <f>IF(OR($A57="",D57=""),"",ROUND(D57*IF($G$9="평",3.305785,1),2))</f>
      </c>
    </row>
    <row r="58" ht="18" customHeight="1" spans="1:32" x14ac:dyDescent="0.25">
      <c r="A58" s="41"/>
      <c r="B58" s="41"/>
      <c r="C58" s="42"/>
      <c r="D58" s="42"/>
      <c r="E58" s="43"/>
      <c r="F58" s="44"/>
      <c r="G58" s="45"/>
      <c r="H58" s="45"/>
      <c r="I58" s="45"/>
      <c r="J58" s="46"/>
      <c r="K58" s="46"/>
      <c r="L58" s="46"/>
      <c r="M58" s="44"/>
      <c r="N58" s="44"/>
      <c r="O58" s="44"/>
      <c r="P58" s="43"/>
      <c r="Q58" s="47">
        <f>IF(OR($A58="",C58=""),"",AE58/3.305785)</f>
      </c>
      <c r="R58" s="47">
        <f>IF(OR($A58="",D58=""),"",AF58/3.305785)</f>
      </c>
      <c r="S58" s="48">
        <f>IF(OR($A58="",C58="",D58=""),"",IF(C58&gt;0,D58/C58*100,""))</f>
      </c>
      <c r="T58" s="49">
        <f>IF(OR($A58="",O58&lt;&gt;"임대중",F58&lt;&gt;"상가",G58=""),"",G58+H58*100)</f>
      </c>
      <c r="U58" s="50">
        <f>IF(T58="","",IF(T58&lt;=$C$7,"○ 전면적용","× 초과 (5%상한 미적용)"))</f>
      </c>
      <c r="V58" s="50">
        <f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</c>
      <c r="W58" s="50">
        <f>IF($A58="","",IF(O58="공실","공실",IF(O58="자가사용","자가사용",IF(L58="","만료일 없음",IF(L58&lt;$C$6,"만료 +"&amp;TEXT($C$6-L58,"0")&amp;"일",IF(L58-$C$6&lt;=30,"임박 "&amp;TEXT(L58-$C$6,"0")&amp;"일","유효"))))))</f>
      </c>
      <c r="X58" s="49">
        <f>IF(OR($A58="",O58&lt;&gt;"임대중"),"",IF(H58="",0,H58)+IF(I58="",0,I58))</f>
      </c>
      <c r="Y58" s="49">
        <f>IF(OR($A58="",O58&lt;&gt;"임대중",H58=""),"",IF(B58="",IF(D58="","",ROUND((H58+IF(I58="",0,I58))/(AF58/3.305785),0)),IF(COUNTIFS($B$13:$B$112,B58,$D$13:$D$112,"")&gt;0,"",ROUND((H58+IF(I58="",0,I58))/(SUMIFS($AF$13:$AF$112,$B$13:$B$112,B58)/3.305785),0))))</f>
      </c>
      <c r="Z58" s="44"/>
      <c r="AA58" s="51"/>
      <c r="AB58" s="44"/>
      <c r="AC58" s="50">
        <f>IF($A58="","",IF(O58="공실","공실",IF(O58="자가사용","자가사용",IF(L58="","만료일 없음",IF(L58&lt;$C$6,"만료 경과",IF(L58&lt;=EDATE($C$6,12),"12개월 내","12개월 초과"))))))</f>
      </c>
      <c r="AD58" s="50">
        <f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</c>
      <c r="AE58" s="52">
        <f>IF(OR($A58="",C58=""),"",ROUND(C58*IF($G$9="평",3.305785,1),2))</f>
      </c>
      <c r="AF58" s="52">
        <f>IF(OR($A58="",D58=""),"",ROUND(D58*IF($G$9="평",3.305785,1),2))</f>
      </c>
    </row>
    <row r="59" ht="18" customHeight="1" spans="1:32" x14ac:dyDescent="0.25">
      <c r="A59" s="41"/>
      <c r="B59" s="41"/>
      <c r="C59" s="42"/>
      <c r="D59" s="42"/>
      <c r="E59" s="43"/>
      <c r="F59" s="44"/>
      <c r="G59" s="45"/>
      <c r="H59" s="45"/>
      <c r="I59" s="45"/>
      <c r="J59" s="46"/>
      <c r="K59" s="46"/>
      <c r="L59" s="46"/>
      <c r="M59" s="44"/>
      <c r="N59" s="44"/>
      <c r="O59" s="44"/>
      <c r="P59" s="43"/>
      <c r="Q59" s="47">
        <f>IF(OR($A59="",C59=""),"",AE59/3.305785)</f>
      </c>
      <c r="R59" s="47">
        <f>IF(OR($A59="",D59=""),"",AF59/3.305785)</f>
      </c>
      <c r="S59" s="48">
        <f>IF(OR($A59="",C59="",D59=""),"",IF(C59&gt;0,D59/C59*100,""))</f>
      </c>
      <c r="T59" s="49">
        <f>IF(OR($A59="",O59&lt;&gt;"임대중",F59&lt;&gt;"상가",G59=""),"",G59+H59*100)</f>
      </c>
      <c r="U59" s="50">
        <f>IF(T59="","",IF(T59&lt;=$C$7,"○ 전면적용","× 초과 (5%상한 미적용)"))</f>
      </c>
      <c r="V59" s="50">
        <f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</c>
      <c r="W59" s="50">
        <f>IF($A59="","",IF(O59="공실","공실",IF(O59="자가사용","자가사용",IF(L59="","만료일 없음",IF(L59&lt;$C$6,"만료 +"&amp;TEXT($C$6-L59,"0")&amp;"일",IF(L59-$C$6&lt;=30,"임박 "&amp;TEXT(L59-$C$6,"0")&amp;"일","유효"))))))</f>
      </c>
      <c r="X59" s="49">
        <f>IF(OR($A59="",O59&lt;&gt;"임대중"),"",IF(H59="",0,H59)+IF(I59="",0,I59))</f>
      </c>
      <c r="Y59" s="49">
        <f>IF(OR($A59="",O59&lt;&gt;"임대중",H59=""),"",IF(B59="",IF(D59="","",ROUND((H59+IF(I59="",0,I59))/(AF59/3.305785),0)),IF(COUNTIFS($B$13:$B$112,B59,$D$13:$D$112,"")&gt;0,"",ROUND((H59+IF(I59="",0,I59))/(SUMIFS($AF$13:$AF$112,$B$13:$B$112,B59)/3.305785),0))))</f>
      </c>
      <c r="Z59" s="44"/>
      <c r="AA59" s="51"/>
      <c r="AB59" s="44"/>
      <c r="AC59" s="50">
        <f>IF($A59="","",IF(O59="공실","공실",IF(O59="자가사용","자가사용",IF(L59="","만료일 없음",IF(L59&lt;$C$6,"만료 경과",IF(L59&lt;=EDATE($C$6,12),"12개월 내","12개월 초과"))))))</f>
      </c>
      <c r="AD59" s="50">
        <f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</c>
      <c r="AE59" s="52">
        <f>IF(OR($A59="",C59=""),"",ROUND(C59*IF($G$9="평",3.305785,1),2))</f>
      </c>
      <c r="AF59" s="52">
        <f>IF(OR($A59="",D59=""),"",ROUND(D59*IF($G$9="평",3.305785,1),2))</f>
      </c>
    </row>
    <row r="60" ht="18" customHeight="1" spans="1:32" x14ac:dyDescent="0.25">
      <c r="A60" s="41"/>
      <c r="B60" s="41"/>
      <c r="C60" s="42"/>
      <c r="D60" s="42"/>
      <c r="E60" s="43"/>
      <c r="F60" s="44"/>
      <c r="G60" s="45"/>
      <c r="H60" s="45"/>
      <c r="I60" s="45"/>
      <c r="J60" s="46"/>
      <c r="K60" s="46"/>
      <c r="L60" s="46"/>
      <c r="M60" s="44"/>
      <c r="N60" s="44"/>
      <c r="O60" s="44"/>
      <c r="P60" s="43"/>
      <c r="Q60" s="47">
        <f>IF(OR($A60="",C60=""),"",AE60/3.305785)</f>
      </c>
      <c r="R60" s="47">
        <f>IF(OR($A60="",D60=""),"",AF60/3.305785)</f>
      </c>
      <c r="S60" s="48">
        <f>IF(OR($A60="",C60="",D60=""),"",IF(C60&gt;0,D60/C60*100,""))</f>
      </c>
      <c r="T60" s="49">
        <f>IF(OR($A60="",O60&lt;&gt;"임대중",F60&lt;&gt;"상가",G60=""),"",G60+H60*100)</f>
      </c>
      <c r="U60" s="50">
        <f>IF(T60="","",IF(T60&lt;=$C$7,"○ 전면적용","× 초과 (5%상한 미적용)"))</f>
      </c>
      <c r="V60" s="50">
        <f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</c>
      <c r="W60" s="50">
        <f>IF($A60="","",IF(O60="공실","공실",IF(O60="자가사용","자가사용",IF(L60="","만료일 없음",IF(L60&lt;$C$6,"만료 +"&amp;TEXT($C$6-L60,"0")&amp;"일",IF(L60-$C$6&lt;=30,"임박 "&amp;TEXT(L60-$C$6,"0")&amp;"일","유효"))))))</f>
      </c>
      <c r="X60" s="49">
        <f>IF(OR($A60="",O60&lt;&gt;"임대중"),"",IF(H60="",0,H60)+IF(I60="",0,I60))</f>
      </c>
      <c r="Y60" s="49">
        <f>IF(OR($A60="",O60&lt;&gt;"임대중",H60=""),"",IF(B60="",IF(D60="","",ROUND((H60+IF(I60="",0,I60))/(AF60/3.305785),0)),IF(COUNTIFS($B$13:$B$112,B60,$D$13:$D$112,"")&gt;0,"",ROUND((H60+IF(I60="",0,I60))/(SUMIFS($AF$13:$AF$112,$B$13:$B$112,B60)/3.305785),0))))</f>
      </c>
      <c r="Z60" s="44"/>
      <c r="AA60" s="51"/>
      <c r="AB60" s="44"/>
      <c r="AC60" s="50">
        <f>IF($A60="","",IF(O60="공실","공실",IF(O60="자가사용","자가사용",IF(L60="","만료일 없음",IF(L60&lt;$C$6,"만료 경과",IF(L60&lt;=EDATE($C$6,12),"12개월 내","12개월 초과"))))))</f>
      </c>
      <c r="AD60" s="50">
        <f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</c>
      <c r="AE60" s="52">
        <f>IF(OR($A60="",C60=""),"",ROUND(C60*IF($G$9="평",3.305785,1),2))</f>
      </c>
      <c r="AF60" s="52">
        <f>IF(OR($A60="",D60=""),"",ROUND(D60*IF($G$9="평",3.305785,1),2))</f>
      </c>
    </row>
    <row r="61" ht="18" customHeight="1" spans="1:32" x14ac:dyDescent="0.25">
      <c r="A61" s="41"/>
      <c r="B61" s="41"/>
      <c r="C61" s="42"/>
      <c r="D61" s="42"/>
      <c r="E61" s="43"/>
      <c r="F61" s="44"/>
      <c r="G61" s="45"/>
      <c r="H61" s="45"/>
      <c r="I61" s="45"/>
      <c r="J61" s="46"/>
      <c r="K61" s="46"/>
      <c r="L61" s="46"/>
      <c r="M61" s="44"/>
      <c r="N61" s="44"/>
      <c r="O61" s="44"/>
      <c r="P61" s="43"/>
      <c r="Q61" s="47">
        <f>IF(OR($A61="",C61=""),"",AE61/3.305785)</f>
      </c>
      <c r="R61" s="47">
        <f>IF(OR($A61="",D61=""),"",AF61/3.305785)</f>
      </c>
      <c r="S61" s="48">
        <f>IF(OR($A61="",C61="",D61=""),"",IF(C61&gt;0,D61/C61*100,""))</f>
      </c>
      <c r="T61" s="49">
        <f>IF(OR($A61="",O61&lt;&gt;"임대중",F61&lt;&gt;"상가",G61=""),"",G61+H61*100)</f>
      </c>
      <c r="U61" s="50">
        <f>IF(T61="","",IF(T61&lt;=$C$7,"○ 전면적용","× 초과 (5%상한 미적용)"))</f>
      </c>
      <c r="V61" s="50">
        <f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</c>
      <c r="W61" s="50">
        <f>IF($A61="","",IF(O61="공실","공실",IF(O61="자가사용","자가사용",IF(L61="","만료일 없음",IF(L61&lt;$C$6,"만료 +"&amp;TEXT($C$6-L61,"0")&amp;"일",IF(L61-$C$6&lt;=30,"임박 "&amp;TEXT(L61-$C$6,"0")&amp;"일","유효"))))))</f>
      </c>
      <c r="X61" s="49">
        <f>IF(OR($A61="",O61&lt;&gt;"임대중"),"",IF(H61="",0,H61)+IF(I61="",0,I61))</f>
      </c>
      <c r="Y61" s="49">
        <f>IF(OR($A61="",O61&lt;&gt;"임대중",H61=""),"",IF(B61="",IF(D61="","",ROUND((H61+IF(I61="",0,I61))/(AF61/3.305785),0)),IF(COUNTIFS($B$13:$B$112,B61,$D$13:$D$112,"")&gt;0,"",ROUND((H61+IF(I61="",0,I61))/(SUMIFS($AF$13:$AF$112,$B$13:$B$112,B61)/3.305785),0))))</f>
      </c>
      <c r="Z61" s="44"/>
      <c r="AA61" s="51"/>
      <c r="AB61" s="44"/>
      <c r="AC61" s="50">
        <f>IF($A61="","",IF(O61="공실","공실",IF(O61="자가사용","자가사용",IF(L61="","만료일 없음",IF(L61&lt;$C$6,"만료 경과",IF(L61&lt;=EDATE($C$6,12),"12개월 내","12개월 초과"))))))</f>
      </c>
      <c r="AD61" s="50">
        <f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</c>
      <c r="AE61" s="52">
        <f>IF(OR($A61="",C61=""),"",ROUND(C61*IF($G$9="평",3.305785,1),2))</f>
      </c>
      <c r="AF61" s="52">
        <f>IF(OR($A61="",D61=""),"",ROUND(D61*IF($G$9="평",3.305785,1),2))</f>
      </c>
    </row>
    <row r="62" ht="18" customHeight="1" spans="1:32" x14ac:dyDescent="0.25">
      <c r="A62" s="41"/>
      <c r="B62" s="41"/>
      <c r="C62" s="42"/>
      <c r="D62" s="42"/>
      <c r="E62" s="43"/>
      <c r="F62" s="44"/>
      <c r="G62" s="45"/>
      <c r="H62" s="45"/>
      <c r="I62" s="45"/>
      <c r="J62" s="46"/>
      <c r="K62" s="46"/>
      <c r="L62" s="46"/>
      <c r="M62" s="44"/>
      <c r="N62" s="44"/>
      <c r="O62" s="44"/>
      <c r="P62" s="43"/>
      <c r="Q62" s="47">
        <f>IF(OR($A62="",C62=""),"",AE62/3.305785)</f>
      </c>
      <c r="R62" s="47">
        <f>IF(OR($A62="",D62=""),"",AF62/3.305785)</f>
      </c>
      <c r="S62" s="48">
        <f>IF(OR($A62="",C62="",D62=""),"",IF(C62&gt;0,D62/C62*100,""))</f>
      </c>
      <c r="T62" s="49">
        <f>IF(OR($A62="",O62&lt;&gt;"임대중",F62&lt;&gt;"상가",G62=""),"",G62+H62*100)</f>
      </c>
      <c r="U62" s="50">
        <f>IF(T62="","",IF(T62&lt;=$C$7,"○ 전면적용","× 초과 (5%상한 미적용)"))</f>
      </c>
      <c r="V62" s="50">
        <f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</c>
      <c r="W62" s="50">
        <f>IF($A62="","",IF(O62="공실","공실",IF(O62="자가사용","자가사용",IF(L62="","만료일 없음",IF(L62&lt;$C$6,"만료 +"&amp;TEXT($C$6-L62,"0")&amp;"일",IF(L62-$C$6&lt;=30,"임박 "&amp;TEXT(L62-$C$6,"0")&amp;"일","유효"))))))</f>
      </c>
      <c r="X62" s="49">
        <f>IF(OR($A62="",O62&lt;&gt;"임대중"),"",IF(H62="",0,H62)+IF(I62="",0,I62))</f>
      </c>
      <c r="Y62" s="49">
        <f>IF(OR($A62="",O62&lt;&gt;"임대중",H62=""),"",IF(B62="",IF(D62="","",ROUND((H62+IF(I62="",0,I62))/(AF62/3.305785),0)),IF(COUNTIFS($B$13:$B$112,B62,$D$13:$D$112,"")&gt;0,"",ROUND((H62+IF(I62="",0,I62))/(SUMIFS($AF$13:$AF$112,$B$13:$B$112,B62)/3.305785),0))))</f>
      </c>
      <c r="Z62" s="44"/>
      <c r="AA62" s="51"/>
      <c r="AB62" s="44"/>
      <c r="AC62" s="50">
        <f>IF($A62="","",IF(O62="공실","공실",IF(O62="자가사용","자가사용",IF(L62="","만료일 없음",IF(L62&lt;$C$6,"만료 경과",IF(L62&lt;=EDATE($C$6,12),"12개월 내","12개월 초과"))))))</f>
      </c>
      <c r="AD62" s="50">
        <f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</c>
      <c r="AE62" s="52">
        <f>IF(OR($A62="",C62=""),"",ROUND(C62*IF($G$9="평",3.305785,1),2))</f>
      </c>
      <c r="AF62" s="52">
        <f>IF(OR($A62="",D62=""),"",ROUND(D62*IF($G$9="평",3.305785,1),2))</f>
      </c>
    </row>
    <row r="63" ht="18" customHeight="1" spans="1:32" x14ac:dyDescent="0.25">
      <c r="A63" s="41"/>
      <c r="B63" s="41"/>
      <c r="C63" s="42"/>
      <c r="D63" s="42"/>
      <c r="E63" s="43"/>
      <c r="F63" s="44"/>
      <c r="G63" s="45"/>
      <c r="H63" s="45"/>
      <c r="I63" s="45"/>
      <c r="J63" s="46"/>
      <c r="K63" s="46"/>
      <c r="L63" s="46"/>
      <c r="M63" s="44"/>
      <c r="N63" s="44"/>
      <c r="O63" s="44"/>
      <c r="P63" s="43"/>
      <c r="Q63" s="47">
        <f>IF(OR($A63="",C63=""),"",AE63/3.305785)</f>
      </c>
      <c r="R63" s="47">
        <f>IF(OR($A63="",D63=""),"",AF63/3.305785)</f>
      </c>
      <c r="S63" s="48">
        <f>IF(OR($A63="",C63="",D63=""),"",IF(C63&gt;0,D63/C63*100,""))</f>
      </c>
      <c r="T63" s="49">
        <f>IF(OR($A63="",O63&lt;&gt;"임대중",F63&lt;&gt;"상가",G63=""),"",G63+H63*100)</f>
      </c>
      <c r="U63" s="50">
        <f>IF(T63="","",IF(T63&lt;=$C$7,"○ 전면적용","× 초과 (5%상한 미적용)"))</f>
      </c>
      <c r="V63" s="50">
        <f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</c>
      <c r="W63" s="50">
        <f>IF($A63="","",IF(O63="공실","공실",IF(O63="자가사용","자가사용",IF(L63="","만료일 없음",IF(L63&lt;$C$6,"만료 +"&amp;TEXT($C$6-L63,"0")&amp;"일",IF(L63-$C$6&lt;=30,"임박 "&amp;TEXT(L63-$C$6,"0")&amp;"일","유효"))))))</f>
      </c>
      <c r="X63" s="49">
        <f>IF(OR($A63="",O63&lt;&gt;"임대중"),"",IF(H63="",0,H63)+IF(I63="",0,I63))</f>
      </c>
      <c r="Y63" s="49">
        <f>IF(OR($A63="",O63&lt;&gt;"임대중",H63=""),"",IF(B63="",IF(D63="","",ROUND((H63+IF(I63="",0,I63))/(AF63/3.305785),0)),IF(COUNTIFS($B$13:$B$112,B63,$D$13:$D$112,"")&gt;0,"",ROUND((H63+IF(I63="",0,I63))/(SUMIFS($AF$13:$AF$112,$B$13:$B$112,B63)/3.305785),0))))</f>
      </c>
      <c r="Z63" s="44"/>
      <c r="AA63" s="51"/>
      <c r="AB63" s="44"/>
      <c r="AC63" s="50">
        <f>IF($A63="","",IF(O63="공실","공실",IF(O63="자가사용","자가사용",IF(L63="","만료일 없음",IF(L63&lt;$C$6,"만료 경과",IF(L63&lt;=EDATE($C$6,12),"12개월 내","12개월 초과"))))))</f>
      </c>
      <c r="AD63" s="50">
        <f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</c>
      <c r="AE63" s="52">
        <f>IF(OR($A63="",C63=""),"",ROUND(C63*IF($G$9="평",3.305785,1),2))</f>
      </c>
      <c r="AF63" s="52">
        <f>IF(OR($A63="",D63=""),"",ROUND(D63*IF($G$9="평",3.305785,1),2))</f>
      </c>
    </row>
    <row r="64" ht="18" customHeight="1" spans="1:32" x14ac:dyDescent="0.25">
      <c r="A64" s="41"/>
      <c r="B64" s="41"/>
      <c r="C64" s="42"/>
      <c r="D64" s="42"/>
      <c r="E64" s="43"/>
      <c r="F64" s="44"/>
      <c r="G64" s="45"/>
      <c r="H64" s="45"/>
      <c r="I64" s="45"/>
      <c r="J64" s="46"/>
      <c r="K64" s="46"/>
      <c r="L64" s="46"/>
      <c r="M64" s="44"/>
      <c r="N64" s="44"/>
      <c r="O64" s="44"/>
      <c r="P64" s="43"/>
      <c r="Q64" s="47">
        <f>IF(OR($A64="",C64=""),"",AE64/3.305785)</f>
      </c>
      <c r="R64" s="47">
        <f>IF(OR($A64="",D64=""),"",AF64/3.305785)</f>
      </c>
      <c r="S64" s="48">
        <f>IF(OR($A64="",C64="",D64=""),"",IF(C64&gt;0,D64/C64*100,""))</f>
      </c>
      <c r="T64" s="49">
        <f>IF(OR($A64="",O64&lt;&gt;"임대중",F64&lt;&gt;"상가",G64=""),"",G64+H64*100)</f>
      </c>
      <c r="U64" s="50">
        <f>IF(T64="","",IF(T64&lt;=$C$7,"○ 전면적용","× 초과 (5%상한 미적용)"))</f>
      </c>
      <c r="V64" s="50">
        <f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</c>
      <c r="W64" s="50">
        <f>IF($A64="","",IF(O64="공실","공실",IF(O64="자가사용","자가사용",IF(L64="","만료일 없음",IF(L64&lt;$C$6,"만료 +"&amp;TEXT($C$6-L64,"0")&amp;"일",IF(L64-$C$6&lt;=30,"임박 "&amp;TEXT(L64-$C$6,"0")&amp;"일","유효"))))))</f>
      </c>
      <c r="X64" s="49">
        <f>IF(OR($A64="",O64&lt;&gt;"임대중"),"",IF(H64="",0,H64)+IF(I64="",0,I64))</f>
      </c>
      <c r="Y64" s="49">
        <f>IF(OR($A64="",O64&lt;&gt;"임대중",H64=""),"",IF(B64="",IF(D64="","",ROUND((H64+IF(I64="",0,I64))/(AF64/3.305785),0)),IF(COUNTIFS($B$13:$B$112,B64,$D$13:$D$112,"")&gt;0,"",ROUND((H64+IF(I64="",0,I64))/(SUMIFS($AF$13:$AF$112,$B$13:$B$112,B64)/3.305785),0))))</f>
      </c>
      <c r="Z64" s="44"/>
      <c r="AA64" s="51"/>
      <c r="AB64" s="44"/>
      <c r="AC64" s="50">
        <f>IF($A64="","",IF(O64="공실","공실",IF(O64="자가사용","자가사용",IF(L64="","만료일 없음",IF(L64&lt;$C$6,"만료 경과",IF(L64&lt;=EDATE($C$6,12),"12개월 내","12개월 초과"))))))</f>
      </c>
      <c r="AD64" s="50">
        <f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</c>
      <c r="AE64" s="52">
        <f>IF(OR($A64="",C64=""),"",ROUND(C64*IF($G$9="평",3.305785,1),2))</f>
      </c>
      <c r="AF64" s="52">
        <f>IF(OR($A64="",D64=""),"",ROUND(D64*IF($G$9="평",3.305785,1),2))</f>
      </c>
    </row>
    <row r="65" ht="18" customHeight="1" spans="1:32" x14ac:dyDescent="0.25">
      <c r="A65" s="41"/>
      <c r="B65" s="41"/>
      <c r="C65" s="42"/>
      <c r="D65" s="42"/>
      <c r="E65" s="43"/>
      <c r="F65" s="44"/>
      <c r="G65" s="45"/>
      <c r="H65" s="45"/>
      <c r="I65" s="45"/>
      <c r="J65" s="46"/>
      <c r="K65" s="46"/>
      <c r="L65" s="46"/>
      <c r="M65" s="44"/>
      <c r="N65" s="44"/>
      <c r="O65" s="44"/>
      <c r="P65" s="43"/>
      <c r="Q65" s="47">
        <f>IF(OR($A65="",C65=""),"",AE65/3.305785)</f>
      </c>
      <c r="R65" s="47">
        <f>IF(OR($A65="",D65=""),"",AF65/3.305785)</f>
      </c>
      <c r="S65" s="48">
        <f>IF(OR($A65="",C65="",D65=""),"",IF(C65&gt;0,D65/C65*100,""))</f>
      </c>
      <c r="T65" s="49">
        <f>IF(OR($A65="",O65&lt;&gt;"임대중",F65&lt;&gt;"상가",G65=""),"",G65+H65*100)</f>
      </c>
      <c r="U65" s="50">
        <f>IF(T65="","",IF(T65&lt;=$C$7,"○ 전면적용","× 초과 (5%상한 미적용)"))</f>
      </c>
      <c r="V65" s="50">
        <f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</c>
      <c r="W65" s="50">
        <f>IF($A65="","",IF(O65="공실","공실",IF(O65="자가사용","자가사용",IF(L65="","만료일 없음",IF(L65&lt;$C$6,"만료 +"&amp;TEXT($C$6-L65,"0")&amp;"일",IF(L65-$C$6&lt;=30,"임박 "&amp;TEXT(L65-$C$6,"0")&amp;"일","유효"))))))</f>
      </c>
      <c r="X65" s="49">
        <f>IF(OR($A65="",O65&lt;&gt;"임대중"),"",IF(H65="",0,H65)+IF(I65="",0,I65))</f>
      </c>
      <c r="Y65" s="49">
        <f>IF(OR($A65="",O65&lt;&gt;"임대중",H65=""),"",IF(B65="",IF(D65="","",ROUND((H65+IF(I65="",0,I65))/(AF65/3.305785),0)),IF(COUNTIFS($B$13:$B$112,B65,$D$13:$D$112,"")&gt;0,"",ROUND((H65+IF(I65="",0,I65))/(SUMIFS($AF$13:$AF$112,$B$13:$B$112,B65)/3.305785),0))))</f>
      </c>
      <c r="Z65" s="44"/>
      <c r="AA65" s="51"/>
      <c r="AB65" s="44"/>
      <c r="AC65" s="50">
        <f>IF($A65="","",IF(O65="공실","공실",IF(O65="자가사용","자가사용",IF(L65="","만료일 없음",IF(L65&lt;$C$6,"만료 경과",IF(L65&lt;=EDATE($C$6,12),"12개월 내","12개월 초과"))))))</f>
      </c>
      <c r="AD65" s="50">
        <f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</c>
      <c r="AE65" s="52">
        <f>IF(OR($A65="",C65=""),"",ROUND(C65*IF($G$9="평",3.305785,1),2))</f>
      </c>
      <c r="AF65" s="52">
        <f>IF(OR($A65="",D65=""),"",ROUND(D65*IF($G$9="평",3.305785,1),2))</f>
      </c>
    </row>
    <row r="66" ht="18" customHeight="1" spans="1:32" x14ac:dyDescent="0.25">
      <c r="A66" s="41"/>
      <c r="B66" s="41"/>
      <c r="C66" s="42"/>
      <c r="D66" s="42"/>
      <c r="E66" s="43"/>
      <c r="F66" s="44"/>
      <c r="G66" s="45"/>
      <c r="H66" s="45"/>
      <c r="I66" s="45"/>
      <c r="J66" s="46"/>
      <c r="K66" s="46"/>
      <c r="L66" s="46"/>
      <c r="M66" s="44"/>
      <c r="N66" s="44"/>
      <c r="O66" s="44"/>
      <c r="P66" s="43"/>
      <c r="Q66" s="47">
        <f>IF(OR($A66="",C66=""),"",AE66/3.305785)</f>
      </c>
      <c r="R66" s="47">
        <f>IF(OR($A66="",D66=""),"",AF66/3.305785)</f>
      </c>
      <c r="S66" s="48">
        <f>IF(OR($A66="",C66="",D66=""),"",IF(C66&gt;0,D66/C66*100,""))</f>
      </c>
      <c r="T66" s="49">
        <f>IF(OR($A66="",O66&lt;&gt;"임대중",F66&lt;&gt;"상가",G66=""),"",G66+H66*100)</f>
      </c>
      <c r="U66" s="50">
        <f>IF(T66="","",IF(T66&lt;=$C$7,"○ 전면적용","× 초과 (5%상한 미적용)"))</f>
      </c>
      <c r="V66" s="50">
        <f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</c>
      <c r="W66" s="50">
        <f>IF($A66="","",IF(O66="공실","공실",IF(O66="자가사용","자가사용",IF(L66="","만료일 없음",IF(L66&lt;$C$6,"만료 +"&amp;TEXT($C$6-L66,"0")&amp;"일",IF(L66-$C$6&lt;=30,"임박 "&amp;TEXT(L66-$C$6,"0")&amp;"일","유효"))))))</f>
      </c>
      <c r="X66" s="49">
        <f>IF(OR($A66="",O66&lt;&gt;"임대중"),"",IF(H66="",0,H66)+IF(I66="",0,I66))</f>
      </c>
      <c r="Y66" s="49">
        <f>IF(OR($A66="",O66&lt;&gt;"임대중",H66=""),"",IF(B66="",IF(D66="","",ROUND((H66+IF(I66="",0,I66))/(AF66/3.305785),0)),IF(COUNTIFS($B$13:$B$112,B66,$D$13:$D$112,"")&gt;0,"",ROUND((H66+IF(I66="",0,I66))/(SUMIFS($AF$13:$AF$112,$B$13:$B$112,B66)/3.305785),0))))</f>
      </c>
      <c r="Z66" s="44"/>
      <c r="AA66" s="51"/>
      <c r="AB66" s="44"/>
      <c r="AC66" s="50">
        <f>IF($A66="","",IF(O66="공실","공실",IF(O66="자가사용","자가사용",IF(L66="","만료일 없음",IF(L66&lt;$C$6,"만료 경과",IF(L66&lt;=EDATE($C$6,12),"12개월 내","12개월 초과"))))))</f>
      </c>
      <c r="AD66" s="50">
        <f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</c>
      <c r="AE66" s="52">
        <f>IF(OR($A66="",C66=""),"",ROUND(C66*IF($G$9="평",3.305785,1),2))</f>
      </c>
      <c r="AF66" s="52">
        <f>IF(OR($A66="",D66=""),"",ROUND(D66*IF($G$9="평",3.305785,1),2))</f>
      </c>
    </row>
    <row r="67" ht="18" customHeight="1" spans="1:32" x14ac:dyDescent="0.25">
      <c r="A67" s="41"/>
      <c r="B67" s="41"/>
      <c r="C67" s="42"/>
      <c r="D67" s="42"/>
      <c r="E67" s="43"/>
      <c r="F67" s="44"/>
      <c r="G67" s="45"/>
      <c r="H67" s="45"/>
      <c r="I67" s="45"/>
      <c r="J67" s="46"/>
      <c r="K67" s="46"/>
      <c r="L67" s="46"/>
      <c r="M67" s="44"/>
      <c r="N67" s="44"/>
      <c r="O67" s="44"/>
      <c r="P67" s="43"/>
      <c r="Q67" s="47">
        <f>IF(OR($A67="",C67=""),"",AE67/3.305785)</f>
      </c>
      <c r="R67" s="47">
        <f>IF(OR($A67="",D67=""),"",AF67/3.305785)</f>
      </c>
      <c r="S67" s="48">
        <f>IF(OR($A67="",C67="",D67=""),"",IF(C67&gt;0,D67/C67*100,""))</f>
      </c>
      <c r="T67" s="49">
        <f>IF(OR($A67="",O67&lt;&gt;"임대중",F67&lt;&gt;"상가",G67=""),"",G67+H67*100)</f>
      </c>
      <c r="U67" s="50">
        <f>IF(T67="","",IF(T67&lt;=$C$7,"○ 전면적용","× 초과 (5%상한 미적용)"))</f>
      </c>
      <c r="V67" s="50">
        <f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</c>
      <c r="W67" s="50">
        <f>IF($A67="","",IF(O67="공실","공실",IF(O67="자가사용","자가사용",IF(L67="","만료일 없음",IF(L67&lt;$C$6,"만료 +"&amp;TEXT($C$6-L67,"0")&amp;"일",IF(L67-$C$6&lt;=30,"임박 "&amp;TEXT(L67-$C$6,"0")&amp;"일","유효"))))))</f>
      </c>
      <c r="X67" s="49">
        <f>IF(OR($A67="",O67&lt;&gt;"임대중"),"",IF(H67="",0,H67)+IF(I67="",0,I67))</f>
      </c>
      <c r="Y67" s="49">
        <f>IF(OR($A67="",O67&lt;&gt;"임대중",H67=""),"",IF(B67="",IF(D67="","",ROUND((H67+IF(I67="",0,I67))/(AF67/3.305785),0)),IF(COUNTIFS($B$13:$B$112,B67,$D$13:$D$112,"")&gt;0,"",ROUND((H67+IF(I67="",0,I67))/(SUMIFS($AF$13:$AF$112,$B$13:$B$112,B67)/3.305785),0))))</f>
      </c>
      <c r="Z67" s="44"/>
      <c r="AA67" s="51"/>
      <c r="AB67" s="44"/>
      <c r="AC67" s="50">
        <f>IF($A67="","",IF(O67="공실","공실",IF(O67="자가사용","자가사용",IF(L67="","만료일 없음",IF(L67&lt;$C$6,"만료 경과",IF(L67&lt;=EDATE($C$6,12),"12개월 내","12개월 초과"))))))</f>
      </c>
      <c r="AD67" s="50">
        <f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</c>
      <c r="AE67" s="52">
        <f>IF(OR($A67="",C67=""),"",ROUND(C67*IF($G$9="평",3.305785,1),2))</f>
      </c>
      <c r="AF67" s="52">
        <f>IF(OR($A67="",D67=""),"",ROUND(D67*IF($G$9="평",3.305785,1),2))</f>
      </c>
    </row>
    <row r="68" ht="18" customHeight="1" spans="1:32" x14ac:dyDescent="0.25">
      <c r="A68" s="41"/>
      <c r="B68" s="41"/>
      <c r="C68" s="42"/>
      <c r="D68" s="42"/>
      <c r="E68" s="43"/>
      <c r="F68" s="44"/>
      <c r="G68" s="45"/>
      <c r="H68" s="45"/>
      <c r="I68" s="45"/>
      <c r="J68" s="46"/>
      <c r="K68" s="46"/>
      <c r="L68" s="46"/>
      <c r="M68" s="44"/>
      <c r="N68" s="44"/>
      <c r="O68" s="44"/>
      <c r="P68" s="43"/>
      <c r="Q68" s="47">
        <f>IF(OR($A68="",C68=""),"",AE68/3.305785)</f>
      </c>
      <c r="R68" s="47">
        <f>IF(OR($A68="",D68=""),"",AF68/3.305785)</f>
      </c>
      <c r="S68" s="48">
        <f>IF(OR($A68="",C68="",D68=""),"",IF(C68&gt;0,D68/C68*100,""))</f>
      </c>
      <c r="T68" s="49">
        <f>IF(OR($A68="",O68&lt;&gt;"임대중",F68&lt;&gt;"상가",G68=""),"",G68+H68*100)</f>
      </c>
      <c r="U68" s="50">
        <f>IF(T68="","",IF(T68&lt;=$C$7,"○ 전면적용","× 초과 (5%상한 미적용)"))</f>
      </c>
      <c r="V68" s="50">
        <f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</c>
      <c r="W68" s="50">
        <f>IF($A68="","",IF(O68="공실","공실",IF(O68="자가사용","자가사용",IF(L68="","만료일 없음",IF(L68&lt;$C$6,"만료 +"&amp;TEXT($C$6-L68,"0")&amp;"일",IF(L68-$C$6&lt;=30,"임박 "&amp;TEXT(L68-$C$6,"0")&amp;"일","유효"))))))</f>
      </c>
      <c r="X68" s="49">
        <f>IF(OR($A68="",O68&lt;&gt;"임대중"),"",IF(H68="",0,H68)+IF(I68="",0,I68))</f>
      </c>
      <c r="Y68" s="49">
        <f>IF(OR($A68="",O68&lt;&gt;"임대중",H68=""),"",IF(B68="",IF(D68="","",ROUND((H68+IF(I68="",0,I68))/(AF68/3.305785),0)),IF(COUNTIFS($B$13:$B$112,B68,$D$13:$D$112,"")&gt;0,"",ROUND((H68+IF(I68="",0,I68))/(SUMIFS($AF$13:$AF$112,$B$13:$B$112,B68)/3.305785),0))))</f>
      </c>
      <c r="Z68" s="44"/>
      <c r="AA68" s="51"/>
      <c r="AB68" s="44"/>
      <c r="AC68" s="50">
        <f>IF($A68="","",IF(O68="공실","공실",IF(O68="자가사용","자가사용",IF(L68="","만료일 없음",IF(L68&lt;$C$6,"만료 경과",IF(L68&lt;=EDATE($C$6,12),"12개월 내","12개월 초과"))))))</f>
      </c>
      <c r="AD68" s="50">
        <f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</c>
      <c r="AE68" s="52">
        <f>IF(OR($A68="",C68=""),"",ROUND(C68*IF($G$9="평",3.305785,1),2))</f>
      </c>
      <c r="AF68" s="52">
        <f>IF(OR($A68="",D68=""),"",ROUND(D68*IF($G$9="평",3.305785,1),2))</f>
      </c>
    </row>
    <row r="69" ht="18" customHeight="1" spans="1:32" x14ac:dyDescent="0.25">
      <c r="A69" s="41"/>
      <c r="B69" s="41"/>
      <c r="C69" s="42"/>
      <c r="D69" s="42"/>
      <c r="E69" s="43"/>
      <c r="F69" s="44"/>
      <c r="G69" s="45"/>
      <c r="H69" s="45"/>
      <c r="I69" s="45"/>
      <c r="J69" s="46"/>
      <c r="K69" s="46"/>
      <c r="L69" s="46"/>
      <c r="M69" s="44"/>
      <c r="N69" s="44"/>
      <c r="O69" s="44"/>
      <c r="P69" s="43"/>
      <c r="Q69" s="47">
        <f>IF(OR($A69="",C69=""),"",AE69/3.305785)</f>
      </c>
      <c r="R69" s="47">
        <f>IF(OR($A69="",D69=""),"",AF69/3.305785)</f>
      </c>
      <c r="S69" s="48">
        <f>IF(OR($A69="",C69="",D69=""),"",IF(C69&gt;0,D69/C69*100,""))</f>
      </c>
      <c r="T69" s="49">
        <f>IF(OR($A69="",O69&lt;&gt;"임대중",F69&lt;&gt;"상가",G69=""),"",G69+H69*100)</f>
      </c>
      <c r="U69" s="50">
        <f>IF(T69="","",IF(T69&lt;=$C$7,"○ 전면적용","× 초과 (5%상한 미적용)"))</f>
      </c>
      <c r="V69" s="50">
        <f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</c>
      <c r="W69" s="50">
        <f>IF($A69="","",IF(O69="공실","공실",IF(O69="자가사용","자가사용",IF(L69="","만료일 없음",IF(L69&lt;$C$6,"만료 +"&amp;TEXT($C$6-L69,"0")&amp;"일",IF(L69-$C$6&lt;=30,"임박 "&amp;TEXT(L69-$C$6,"0")&amp;"일","유효"))))))</f>
      </c>
      <c r="X69" s="49">
        <f>IF(OR($A69="",O69&lt;&gt;"임대중"),"",IF(H69="",0,H69)+IF(I69="",0,I69))</f>
      </c>
      <c r="Y69" s="49">
        <f>IF(OR($A69="",O69&lt;&gt;"임대중",H69=""),"",IF(B69="",IF(D69="","",ROUND((H69+IF(I69="",0,I69))/(AF69/3.305785),0)),IF(COUNTIFS($B$13:$B$112,B69,$D$13:$D$112,"")&gt;0,"",ROUND((H69+IF(I69="",0,I69))/(SUMIFS($AF$13:$AF$112,$B$13:$B$112,B69)/3.305785),0))))</f>
      </c>
      <c r="Z69" s="44"/>
      <c r="AA69" s="51"/>
      <c r="AB69" s="44"/>
      <c r="AC69" s="50">
        <f>IF($A69="","",IF(O69="공실","공실",IF(O69="자가사용","자가사용",IF(L69="","만료일 없음",IF(L69&lt;$C$6,"만료 경과",IF(L69&lt;=EDATE($C$6,12),"12개월 내","12개월 초과"))))))</f>
      </c>
      <c r="AD69" s="50">
        <f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</c>
      <c r="AE69" s="52">
        <f>IF(OR($A69="",C69=""),"",ROUND(C69*IF($G$9="평",3.305785,1),2))</f>
      </c>
      <c r="AF69" s="52">
        <f>IF(OR($A69="",D69=""),"",ROUND(D69*IF($G$9="평",3.305785,1),2))</f>
      </c>
    </row>
    <row r="70" ht="18" customHeight="1" spans="1:32" x14ac:dyDescent="0.25">
      <c r="A70" s="41"/>
      <c r="B70" s="41"/>
      <c r="C70" s="42"/>
      <c r="D70" s="42"/>
      <c r="E70" s="43"/>
      <c r="F70" s="44"/>
      <c r="G70" s="45"/>
      <c r="H70" s="45"/>
      <c r="I70" s="45"/>
      <c r="J70" s="46"/>
      <c r="K70" s="46"/>
      <c r="L70" s="46"/>
      <c r="M70" s="44"/>
      <c r="N70" s="44"/>
      <c r="O70" s="44"/>
      <c r="P70" s="43"/>
      <c r="Q70" s="47">
        <f>IF(OR($A70="",C70=""),"",AE70/3.305785)</f>
      </c>
      <c r="R70" s="47">
        <f>IF(OR($A70="",D70=""),"",AF70/3.305785)</f>
      </c>
      <c r="S70" s="48">
        <f>IF(OR($A70="",C70="",D70=""),"",IF(C70&gt;0,D70/C70*100,""))</f>
      </c>
      <c r="T70" s="49">
        <f>IF(OR($A70="",O70&lt;&gt;"임대중",F70&lt;&gt;"상가",G70=""),"",G70+H70*100)</f>
      </c>
      <c r="U70" s="50">
        <f>IF(T70="","",IF(T70&lt;=$C$7,"○ 전면적용","× 초과 (5%상한 미적용)"))</f>
      </c>
      <c r="V70" s="50">
        <f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</c>
      <c r="W70" s="50">
        <f>IF($A70="","",IF(O70="공실","공실",IF(O70="자가사용","자가사용",IF(L70="","만료일 없음",IF(L70&lt;$C$6,"만료 +"&amp;TEXT($C$6-L70,"0")&amp;"일",IF(L70-$C$6&lt;=30,"임박 "&amp;TEXT(L70-$C$6,"0")&amp;"일","유효"))))))</f>
      </c>
      <c r="X70" s="49">
        <f>IF(OR($A70="",O70&lt;&gt;"임대중"),"",IF(H70="",0,H70)+IF(I70="",0,I70))</f>
      </c>
      <c r="Y70" s="49">
        <f>IF(OR($A70="",O70&lt;&gt;"임대중",H70=""),"",IF(B70="",IF(D70="","",ROUND((H70+IF(I70="",0,I70))/(AF70/3.305785),0)),IF(COUNTIFS($B$13:$B$112,B70,$D$13:$D$112,"")&gt;0,"",ROUND((H70+IF(I70="",0,I70))/(SUMIFS($AF$13:$AF$112,$B$13:$B$112,B70)/3.305785),0))))</f>
      </c>
      <c r="Z70" s="44"/>
      <c r="AA70" s="51"/>
      <c r="AB70" s="44"/>
      <c r="AC70" s="50">
        <f>IF($A70="","",IF(O70="공실","공실",IF(O70="자가사용","자가사용",IF(L70="","만료일 없음",IF(L70&lt;$C$6,"만료 경과",IF(L70&lt;=EDATE($C$6,12),"12개월 내","12개월 초과"))))))</f>
      </c>
      <c r="AD70" s="50">
        <f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</c>
      <c r="AE70" s="52">
        <f>IF(OR($A70="",C70=""),"",ROUND(C70*IF($G$9="평",3.305785,1),2))</f>
      </c>
      <c r="AF70" s="52">
        <f>IF(OR($A70="",D70=""),"",ROUND(D70*IF($G$9="평",3.305785,1),2))</f>
      </c>
    </row>
    <row r="71" ht="18" customHeight="1" spans="1:32" x14ac:dyDescent="0.25">
      <c r="A71" s="41"/>
      <c r="B71" s="41"/>
      <c r="C71" s="42"/>
      <c r="D71" s="42"/>
      <c r="E71" s="43"/>
      <c r="F71" s="44"/>
      <c r="G71" s="45"/>
      <c r="H71" s="45"/>
      <c r="I71" s="45"/>
      <c r="J71" s="46"/>
      <c r="K71" s="46"/>
      <c r="L71" s="46"/>
      <c r="M71" s="44"/>
      <c r="N71" s="44"/>
      <c r="O71" s="44"/>
      <c r="P71" s="43"/>
      <c r="Q71" s="47">
        <f>IF(OR($A71="",C71=""),"",AE71/3.305785)</f>
      </c>
      <c r="R71" s="47">
        <f>IF(OR($A71="",D71=""),"",AF71/3.305785)</f>
      </c>
      <c r="S71" s="48">
        <f>IF(OR($A71="",C71="",D71=""),"",IF(C71&gt;0,D71/C71*100,""))</f>
      </c>
      <c r="T71" s="49">
        <f>IF(OR($A71="",O71&lt;&gt;"임대중",F71&lt;&gt;"상가",G71=""),"",G71+H71*100)</f>
      </c>
      <c r="U71" s="50">
        <f>IF(T71="","",IF(T71&lt;=$C$7,"○ 전면적용","× 초과 (5%상한 미적용)"))</f>
      </c>
      <c r="V71" s="50">
        <f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</c>
      <c r="W71" s="50">
        <f>IF($A71="","",IF(O71="공실","공실",IF(O71="자가사용","자가사용",IF(L71="","만료일 없음",IF(L71&lt;$C$6,"만료 +"&amp;TEXT($C$6-L71,"0")&amp;"일",IF(L71-$C$6&lt;=30,"임박 "&amp;TEXT(L71-$C$6,"0")&amp;"일","유효"))))))</f>
      </c>
      <c r="X71" s="49">
        <f>IF(OR($A71="",O71&lt;&gt;"임대중"),"",IF(H71="",0,H71)+IF(I71="",0,I71))</f>
      </c>
      <c r="Y71" s="49">
        <f>IF(OR($A71="",O71&lt;&gt;"임대중",H71=""),"",IF(B71="",IF(D71="","",ROUND((H71+IF(I71="",0,I71))/(AF71/3.305785),0)),IF(COUNTIFS($B$13:$B$112,B71,$D$13:$D$112,"")&gt;0,"",ROUND((H71+IF(I71="",0,I71))/(SUMIFS($AF$13:$AF$112,$B$13:$B$112,B71)/3.305785),0))))</f>
      </c>
      <c r="Z71" s="44"/>
      <c r="AA71" s="51"/>
      <c r="AB71" s="44"/>
      <c r="AC71" s="50">
        <f>IF($A71="","",IF(O71="공실","공실",IF(O71="자가사용","자가사용",IF(L71="","만료일 없음",IF(L71&lt;$C$6,"만료 경과",IF(L71&lt;=EDATE($C$6,12),"12개월 내","12개월 초과"))))))</f>
      </c>
      <c r="AD71" s="50">
        <f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</c>
      <c r="AE71" s="52">
        <f>IF(OR($A71="",C71=""),"",ROUND(C71*IF($G$9="평",3.305785,1),2))</f>
      </c>
      <c r="AF71" s="52">
        <f>IF(OR($A71="",D71=""),"",ROUND(D71*IF($G$9="평",3.305785,1),2))</f>
      </c>
    </row>
    <row r="72" ht="18" customHeight="1" spans="1:32" x14ac:dyDescent="0.25">
      <c r="A72" s="41"/>
      <c r="B72" s="41"/>
      <c r="C72" s="42"/>
      <c r="D72" s="42"/>
      <c r="E72" s="43"/>
      <c r="F72" s="44"/>
      <c r="G72" s="45"/>
      <c r="H72" s="45"/>
      <c r="I72" s="45"/>
      <c r="J72" s="46"/>
      <c r="K72" s="46"/>
      <c r="L72" s="46"/>
      <c r="M72" s="44"/>
      <c r="N72" s="44"/>
      <c r="O72" s="44"/>
      <c r="P72" s="43"/>
      <c r="Q72" s="47">
        <f>IF(OR($A72="",C72=""),"",AE72/3.305785)</f>
      </c>
      <c r="R72" s="47">
        <f>IF(OR($A72="",D72=""),"",AF72/3.305785)</f>
      </c>
      <c r="S72" s="48">
        <f>IF(OR($A72="",C72="",D72=""),"",IF(C72&gt;0,D72/C72*100,""))</f>
      </c>
      <c r="T72" s="49">
        <f>IF(OR($A72="",O72&lt;&gt;"임대중",F72&lt;&gt;"상가",G72=""),"",G72+H72*100)</f>
      </c>
      <c r="U72" s="50">
        <f>IF(T72="","",IF(T72&lt;=$C$7,"○ 전면적용","× 초과 (5%상한 미적용)"))</f>
      </c>
      <c r="V72" s="50">
        <f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</c>
      <c r="W72" s="50">
        <f>IF($A72="","",IF(O72="공실","공실",IF(O72="자가사용","자가사용",IF(L72="","만료일 없음",IF(L72&lt;$C$6,"만료 +"&amp;TEXT($C$6-L72,"0")&amp;"일",IF(L72-$C$6&lt;=30,"임박 "&amp;TEXT(L72-$C$6,"0")&amp;"일","유효"))))))</f>
      </c>
      <c r="X72" s="49">
        <f>IF(OR($A72="",O72&lt;&gt;"임대중"),"",IF(H72="",0,H72)+IF(I72="",0,I72))</f>
      </c>
      <c r="Y72" s="49">
        <f>IF(OR($A72="",O72&lt;&gt;"임대중",H72=""),"",IF(B72="",IF(D72="","",ROUND((H72+IF(I72="",0,I72))/(AF72/3.305785),0)),IF(COUNTIFS($B$13:$B$112,B72,$D$13:$D$112,"")&gt;0,"",ROUND((H72+IF(I72="",0,I72))/(SUMIFS($AF$13:$AF$112,$B$13:$B$112,B72)/3.305785),0))))</f>
      </c>
      <c r="Z72" s="44"/>
      <c r="AA72" s="51"/>
      <c r="AB72" s="44"/>
      <c r="AC72" s="50">
        <f>IF($A72="","",IF(O72="공실","공실",IF(O72="자가사용","자가사용",IF(L72="","만료일 없음",IF(L72&lt;$C$6,"만료 경과",IF(L72&lt;=EDATE($C$6,12),"12개월 내","12개월 초과"))))))</f>
      </c>
      <c r="AD72" s="50">
        <f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</c>
      <c r="AE72" s="52">
        <f>IF(OR($A72="",C72=""),"",ROUND(C72*IF($G$9="평",3.305785,1),2))</f>
      </c>
      <c r="AF72" s="52">
        <f>IF(OR($A72="",D72=""),"",ROUND(D72*IF($G$9="평",3.305785,1),2))</f>
      </c>
    </row>
    <row r="73" ht="18" customHeight="1" spans="1:32" x14ac:dyDescent="0.25">
      <c r="A73" s="41"/>
      <c r="B73" s="41"/>
      <c r="C73" s="42"/>
      <c r="D73" s="42"/>
      <c r="E73" s="43"/>
      <c r="F73" s="44"/>
      <c r="G73" s="45"/>
      <c r="H73" s="45"/>
      <c r="I73" s="45"/>
      <c r="J73" s="46"/>
      <c r="K73" s="46"/>
      <c r="L73" s="46"/>
      <c r="M73" s="44"/>
      <c r="N73" s="44"/>
      <c r="O73" s="44"/>
      <c r="P73" s="43"/>
      <c r="Q73" s="47">
        <f>IF(OR($A73="",C73=""),"",AE73/3.305785)</f>
      </c>
      <c r="R73" s="47">
        <f>IF(OR($A73="",D73=""),"",AF73/3.305785)</f>
      </c>
      <c r="S73" s="48">
        <f>IF(OR($A73="",C73="",D73=""),"",IF(C73&gt;0,D73/C73*100,""))</f>
      </c>
      <c r="T73" s="49">
        <f>IF(OR($A73="",O73&lt;&gt;"임대중",F73&lt;&gt;"상가",G73=""),"",G73+H73*100)</f>
      </c>
      <c r="U73" s="50">
        <f>IF(T73="","",IF(T73&lt;=$C$7,"○ 전면적용","× 초과 (5%상한 미적용)"))</f>
      </c>
      <c r="V73" s="50">
        <f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</c>
      <c r="W73" s="50">
        <f>IF($A73="","",IF(O73="공실","공실",IF(O73="자가사용","자가사용",IF(L73="","만료일 없음",IF(L73&lt;$C$6,"만료 +"&amp;TEXT($C$6-L73,"0")&amp;"일",IF(L73-$C$6&lt;=30,"임박 "&amp;TEXT(L73-$C$6,"0")&amp;"일","유효"))))))</f>
      </c>
      <c r="X73" s="49">
        <f>IF(OR($A73="",O73&lt;&gt;"임대중"),"",IF(H73="",0,H73)+IF(I73="",0,I73))</f>
      </c>
      <c r="Y73" s="49">
        <f>IF(OR($A73="",O73&lt;&gt;"임대중",H73=""),"",IF(B73="",IF(D73="","",ROUND((H73+IF(I73="",0,I73))/(AF73/3.305785),0)),IF(COUNTIFS($B$13:$B$112,B73,$D$13:$D$112,"")&gt;0,"",ROUND((H73+IF(I73="",0,I73))/(SUMIFS($AF$13:$AF$112,$B$13:$B$112,B73)/3.305785),0))))</f>
      </c>
      <c r="Z73" s="44"/>
      <c r="AA73" s="51"/>
      <c r="AB73" s="44"/>
      <c r="AC73" s="50">
        <f>IF($A73="","",IF(O73="공실","공실",IF(O73="자가사용","자가사용",IF(L73="","만료일 없음",IF(L73&lt;$C$6,"만료 경과",IF(L73&lt;=EDATE($C$6,12),"12개월 내","12개월 초과"))))))</f>
      </c>
      <c r="AD73" s="50">
        <f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</c>
      <c r="AE73" s="52">
        <f>IF(OR($A73="",C73=""),"",ROUND(C73*IF($G$9="평",3.305785,1),2))</f>
      </c>
      <c r="AF73" s="52">
        <f>IF(OR($A73="",D73=""),"",ROUND(D73*IF($G$9="평",3.305785,1),2))</f>
      </c>
    </row>
    <row r="74" ht="18" customHeight="1" spans="1:32" x14ac:dyDescent="0.25">
      <c r="A74" s="41"/>
      <c r="B74" s="41"/>
      <c r="C74" s="42"/>
      <c r="D74" s="42"/>
      <c r="E74" s="43"/>
      <c r="F74" s="44"/>
      <c r="G74" s="45"/>
      <c r="H74" s="45"/>
      <c r="I74" s="45"/>
      <c r="J74" s="46"/>
      <c r="K74" s="46"/>
      <c r="L74" s="46"/>
      <c r="M74" s="44"/>
      <c r="N74" s="44"/>
      <c r="O74" s="44"/>
      <c r="P74" s="43"/>
      <c r="Q74" s="47">
        <f>IF(OR($A74="",C74=""),"",AE74/3.305785)</f>
      </c>
      <c r="R74" s="47">
        <f>IF(OR($A74="",D74=""),"",AF74/3.305785)</f>
      </c>
      <c r="S74" s="48">
        <f>IF(OR($A74="",C74="",D74=""),"",IF(C74&gt;0,D74/C74*100,""))</f>
      </c>
      <c r="T74" s="49">
        <f>IF(OR($A74="",O74&lt;&gt;"임대중",F74&lt;&gt;"상가",G74=""),"",G74+H74*100)</f>
      </c>
      <c r="U74" s="50">
        <f>IF(T74="","",IF(T74&lt;=$C$7,"○ 전면적용","× 초과 (5%상한 미적용)"))</f>
      </c>
      <c r="V74" s="50">
        <f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</c>
      <c r="W74" s="50">
        <f>IF($A74="","",IF(O74="공실","공실",IF(O74="자가사용","자가사용",IF(L74="","만료일 없음",IF(L74&lt;$C$6,"만료 +"&amp;TEXT($C$6-L74,"0")&amp;"일",IF(L74-$C$6&lt;=30,"임박 "&amp;TEXT(L74-$C$6,"0")&amp;"일","유효"))))))</f>
      </c>
      <c r="X74" s="49">
        <f>IF(OR($A74="",O74&lt;&gt;"임대중"),"",IF(H74="",0,H74)+IF(I74="",0,I74))</f>
      </c>
      <c r="Y74" s="49">
        <f>IF(OR($A74="",O74&lt;&gt;"임대중",H74=""),"",IF(B74="",IF(D74="","",ROUND((H74+IF(I74="",0,I74))/(AF74/3.305785),0)),IF(COUNTIFS($B$13:$B$112,B74,$D$13:$D$112,"")&gt;0,"",ROUND((H74+IF(I74="",0,I74))/(SUMIFS($AF$13:$AF$112,$B$13:$B$112,B74)/3.305785),0))))</f>
      </c>
      <c r="Z74" s="44"/>
      <c r="AA74" s="51"/>
      <c r="AB74" s="44"/>
      <c r="AC74" s="50">
        <f>IF($A74="","",IF(O74="공실","공실",IF(O74="자가사용","자가사용",IF(L74="","만료일 없음",IF(L74&lt;$C$6,"만료 경과",IF(L74&lt;=EDATE($C$6,12),"12개월 내","12개월 초과"))))))</f>
      </c>
      <c r="AD74" s="50">
        <f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</c>
      <c r="AE74" s="52">
        <f>IF(OR($A74="",C74=""),"",ROUND(C74*IF($G$9="평",3.305785,1),2))</f>
      </c>
      <c r="AF74" s="52">
        <f>IF(OR($A74="",D74=""),"",ROUND(D74*IF($G$9="평",3.305785,1),2))</f>
      </c>
    </row>
    <row r="75" ht="18" customHeight="1" spans="1:32" x14ac:dyDescent="0.25">
      <c r="A75" s="41"/>
      <c r="B75" s="41"/>
      <c r="C75" s="42"/>
      <c r="D75" s="42"/>
      <c r="E75" s="43"/>
      <c r="F75" s="44"/>
      <c r="G75" s="45"/>
      <c r="H75" s="45"/>
      <c r="I75" s="45"/>
      <c r="J75" s="46"/>
      <c r="K75" s="46"/>
      <c r="L75" s="46"/>
      <c r="M75" s="44"/>
      <c r="N75" s="44"/>
      <c r="O75" s="44"/>
      <c r="P75" s="43"/>
      <c r="Q75" s="47">
        <f>IF(OR($A75="",C75=""),"",AE75/3.305785)</f>
      </c>
      <c r="R75" s="47">
        <f>IF(OR($A75="",D75=""),"",AF75/3.305785)</f>
      </c>
      <c r="S75" s="48">
        <f>IF(OR($A75="",C75="",D75=""),"",IF(C75&gt;0,D75/C75*100,""))</f>
      </c>
      <c r="T75" s="49">
        <f>IF(OR($A75="",O75&lt;&gt;"임대중",F75&lt;&gt;"상가",G75=""),"",G75+H75*100)</f>
      </c>
      <c r="U75" s="50">
        <f>IF(T75="","",IF(T75&lt;=$C$7,"○ 전면적용","× 초과 (5%상한 미적용)"))</f>
      </c>
      <c r="V75" s="50">
        <f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</c>
      <c r="W75" s="50">
        <f>IF($A75="","",IF(O75="공실","공실",IF(O75="자가사용","자가사용",IF(L75="","만료일 없음",IF(L75&lt;$C$6,"만료 +"&amp;TEXT($C$6-L75,"0")&amp;"일",IF(L75-$C$6&lt;=30,"임박 "&amp;TEXT(L75-$C$6,"0")&amp;"일","유효"))))))</f>
      </c>
      <c r="X75" s="49">
        <f>IF(OR($A75="",O75&lt;&gt;"임대중"),"",IF(H75="",0,H75)+IF(I75="",0,I75))</f>
      </c>
      <c r="Y75" s="49">
        <f>IF(OR($A75="",O75&lt;&gt;"임대중",H75=""),"",IF(B75="",IF(D75="","",ROUND((H75+IF(I75="",0,I75))/(AF75/3.305785),0)),IF(COUNTIFS($B$13:$B$112,B75,$D$13:$D$112,"")&gt;0,"",ROUND((H75+IF(I75="",0,I75))/(SUMIFS($AF$13:$AF$112,$B$13:$B$112,B75)/3.305785),0))))</f>
      </c>
      <c r="Z75" s="44"/>
      <c r="AA75" s="51"/>
      <c r="AB75" s="44"/>
      <c r="AC75" s="50">
        <f>IF($A75="","",IF(O75="공실","공실",IF(O75="자가사용","자가사용",IF(L75="","만료일 없음",IF(L75&lt;$C$6,"만료 경과",IF(L75&lt;=EDATE($C$6,12),"12개월 내","12개월 초과"))))))</f>
      </c>
      <c r="AD75" s="50">
        <f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</c>
      <c r="AE75" s="52">
        <f>IF(OR($A75="",C75=""),"",ROUND(C75*IF($G$9="평",3.305785,1),2))</f>
      </c>
      <c r="AF75" s="52">
        <f>IF(OR($A75="",D75=""),"",ROUND(D75*IF($G$9="평",3.305785,1),2))</f>
      </c>
    </row>
    <row r="76" ht="18" customHeight="1" spans="1:32" x14ac:dyDescent="0.25">
      <c r="A76" s="41"/>
      <c r="B76" s="41"/>
      <c r="C76" s="42"/>
      <c r="D76" s="42"/>
      <c r="E76" s="43"/>
      <c r="F76" s="44"/>
      <c r="G76" s="45"/>
      <c r="H76" s="45"/>
      <c r="I76" s="45"/>
      <c r="J76" s="46"/>
      <c r="K76" s="46"/>
      <c r="L76" s="46"/>
      <c r="M76" s="44"/>
      <c r="N76" s="44"/>
      <c r="O76" s="44"/>
      <c r="P76" s="43"/>
      <c r="Q76" s="47">
        <f>IF(OR($A76="",C76=""),"",AE76/3.305785)</f>
      </c>
      <c r="R76" s="47">
        <f>IF(OR($A76="",D76=""),"",AF76/3.305785)</f>
      </c>
      <c r="S76" s="48">
        <f>IF(OR($A76="",C76="",D76=""),"",IF(C76&gt;0,D76/C76*100,""))</f>
      </c>
      <c r="T76" s="49">
        <f>IF(OR($A76="",O76&lt;&gt;"임대중",F76&lt;&gt;"상가",G76=""),"",G76+H76*100)</f>
      </c>
      <c r="U76" s="50">
        <f>IF(T76="","",IF(T76&lt;=$C$7,"○ 전면적용","× 초과 (5%상한 미적용)"))</f>
      </c>
      <c r="V76" s="50">
        <f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</c>
      <c r="W76" s="50">
        <f>IF($A76="","",IF(O76="공실","공실",IF(O76="자가사용","자가사용",IF(L76="","만료일 없음",IF(L76&lt;$C$6,"만료 +"&amp;TEXT($C$6-L76,"0")&amp;"일",IF(L76-$C$6&lt;=30,"임박 "&amp;TEXT(L76-$C$6,"0")&amp;"일","유효"))))))</f>
      </c>
      <c r="X76" s="49">
        <f>IF(OR($A76="",O76&lt;&gt;"임대중"),"",IF(H76="",0,H76)+IF(I76="",0,I76))</f>
      </c>
      <c r="Y76" s="49">
        <f>IF(OR($A76="",O76&lt;&gt;"임대중",H76=""),"",IF(B76="",IF(D76="","",ROUND((H76+IF(I76="",0,I76))/(AF76/3.305785),0)),IF(COUNTIFS($B$13:$B$112,B76,$D$13:$D$112,"")&gt;0,"",ROUND((H76+IF(I76="",0,I76))/(SUMIFS($AF$13:$AF$112,$B$13:$B$112,B76)/3.305785),0))))</f>
      </c>
      <c r="Z76" s="44"/>
      <c r="AA76" s="51"/>
      <c r="AB76" s="44"/>
      <c r="AC76" s="50">
        <f>IF($A76="","",IF(O76="공실","공실",IF(O76="자가사용","자가사용",IF(L76="","만료일 없음",IF(L76&lt;$C$6,"만료 경과",IF(L76&lt;=EDATE($C$6,12),"12개월 내","12개월 초과"))))))</f>
      </c>
      <c r="AD76" s="50">
        <f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</c>
      <c r="AE76" s="52">
        <f>IF(OR($A76="",C76=""),"",ROUND(C76*IF($G$9="평",3.305785,1),2))</f>
      </c>
      <c r="AF76" s="52">
        <f>IF(OR($A76="",D76=""),"",ROUND(D76*IF($G$9="평",3.305785,1),2))</f>
      </c>
    </row>
    <row r="77" ht="18" customHeight="1" spans="1:32" x14ac:dyDescent="0.25">
      <c r="A77" s="41"/>
      <c r="B77" s="41"/>
      <c r="C77" s="42"/>
      <c r="D77" s="42"/>
      <c r="E77" s="43"/>
      <c r="F77" s="44"/>
      <c r="G77" s="45"/>
      <c r="H77" s="45"/>
      <c r="I77" s="45"/>
      <c r="J77" s="46"/>
      <c r="K77" s="46"/>
      <c r="L77" s="46"/>
      <c r="M77" s="44"/>
      <c r="N77" s="44"/>
      <c r="O77" s="44"/>
      <c r="P77" s="43"/>
      <c r="Q77" s="47">
        <f>IF(OR($A77="",C77=""),"",AE77/3.305785)</f>
      </c>
      <c r="R77" s="47">
        <f>IF(OR($A77="",D77=""),"",AF77/3.305785)</f>
      </c>
      <c r="S77" s="48">
        <f>IF(OR($A77="",C77="",D77=""),"",IF(C77&gt;0,D77/C77*100,""))</f>
      </c>
      <c r="T77" s="49">
        <f>IF(OR($A77="",O77&lt;&gt;"임대중",F77&lt;&gt;"상가",G77=""),"",G77+H77*100)</f>
      </c>
      <c r="U77" s="50">
        <f>IF(T77="","",IF(T77&lt;=$C$7,"○ 전면적용","× 초과 (5%상한 미적용)"))</f>
      </c>
      <c r="V77" s="50">
        <f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</c>
      <c r="W77" s="50">
        <f>IF($A77="","",IF(O77="공실","공실",IF(O77="자가사용","자가사용",IF(L77="","만료일 없음",IF(L77&lt;$C$6,"만료 +"&amp;TEXT($C$6-L77,"0")&amp;"일",IF(L77-$C$6&lt;=30,"임박 "&amp;TEXT(L77-$C$6,"0")&amp;"일","유효"))))))</f>
      </c>
      <c r="X77" s="49">
        <f>IF(OR($A77="",O77&lt;&gt;"임대중"),"",IF(H77="",0,H77)+IF(I77="",0,I77))</f>
      </c>
      <c r="Y77" s="49">
        <f>IF(OR($A77="",O77&lt;&gt;"임대중",H77=""),"",IF(B77="",IF(D77="","",ROUND((H77+IF(I77="",0,I77))/(AF77/3.305785),0)),IF(COUNTIFS($B$13:$B$112,B77,$D$13:$D$112,"")&gt;0,"",ROUND((H77+IF(I77="",0,I77))/(SUMIFS($AF$13:$AF$112,$B$13:$B$112,B77)/3.305785),0))))</f>
      </c>
      <c r="Z77" s="44"/>
      <c r="AA77" s="51"/>
      <c r="AB77" s="44"/>
      <c r="AC77" s="50">
        <f>IF($A77="","",IF(O77="공실","공실",IF(O77="자가사용","자가사용",IF(L77="","만료일 없음",IF(L77&lt;$C$6,"만료 경과",IF(L77&lt;=EDATE($C$6,12),"12개월 내","12개월 초과"))))))</f>
      </c>
      <c r="AD77" s="50">
        <f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</c>
      <c r="AE77" s="52">
        <f>IF(OR($A77="",C77=""),"",ROUND(C77*IF($G$9="평",3.305785,1),2))</f>
      </c>
      <c r="AF77" s="52">
        <f>IF(OR($A77="",D77=""),"",ROUND(D77*IF($G$9="평",3.305785,1),2))</f>
      </c>
    </row>
    <row r="78" ht="18" customHeight="1" spans="1:32" x14ac:dyDescent="0.25">
      <c r="A78" s="41"/>
      <c r="B78" s="41"/>
      <c r="C78" s="42"/>
      <c r="D78" s="42"/>
      <c r="E78" s="43"/>
      <c r="F78" s="44"/>
      <c r="G78" s="45"/>
      <c r="H78" s="45"/>
      <c r="I78" s="45"/>
      <c r="J78" s="46"/>
      <c r="K78" s="46"/>
      <c r="L78" s="46"/>
      <c r="M78" s="44"/>
      <c r="N78" s="44"/>
      <c r="O78" s="44"/>
      <c r="P78" s="43"/>
      <c r="Q78" s="47">
        <f>IF(OR($A78="",C78=""),"",AE78/3.305785)</f>
      </c>
      <c r="R78" s="47">
        <f>IF(OR($A78="",D78=""),"",AF78/3.305785)</f>
      </c>
      <c r="S78" s="48">
        <f>IF(OR($A78="",C78="",D78=""),"",IF(C78&gt;0,D78/C78*100,""))</f>
      </c>
      <c r="T78" s="49">
        <f>IF(OR($A78="",O78&lt;&gt;"임대중",F78&lt;&gt;"상가",G78=""),"",G78+H78*100)</f>
      </c>
      <c r="U78" s="50">
        <f>IF(T78="","",IF(T78&lt;=$C$7,"○ 전면적용","× 초과 (5%상한 미적용)"))</f>
      </c>
      <c r="V78" s="50">
        <f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</c>
      <c r="W78" s="50">
        <f>IF($A78="","",IF(O78="공실","공실",IF(O78="자가사용","자가사용",IF(L78="","만료일 없음",IF(L78&lt;$C$6,"만료 +"&amp;TEXT($C$6-L78,"0")&amp;"일",IF(L78-$C$6&lt;=30,"임박 "&amp;TEXT(L78-$C$6,"0")&amp;"일","유효"))))))</f>
      </c>
      <c r="X78" s="49">
        <f>IF(OR($A78="",O78&lt;&gt;"임대중"),"",IF(H78="",0,H78)+IF(I78="",0,I78))</f>
      </c>
      <c r="Y78" s="49">
        <f>IF(OR($A78="",O78&lt;&gt;"임대중",H78=""),"",IF(B78="",IF(D78="","",ROUND((H78+IF(I78="",0,I78))/(AF78/3.305785),0)),IF(COUNTIFS($B$13:$B$112,B78,$D$13:$D$112,"")&gt;0,"",ROUND((H78+IF(I78="",0,I78))/(SUMIFS($AF$13:$AF$112,$B$13:$B$112,B78)/3.305785),0))))</f>
      </c>
      <c r="Z78" s="44"/>
      <c r="AA78" s="51"/>
      <c r="AB78" s="44"/>
      <c r="AC78" s="50">
        <f>IF($A78="","",IF(O78="공실","공실",IF(O78="자가사용","자가사용",IF(L78="","만료일 없음",IF(L78&lt;$C$6,"만료 경과",IF(L78&lt;=EDATE($C$6,12),"12개월 내","12개월 초과"))))))</f>
      </c>
      <c r="AD78" s="50">
        <f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</c>
      <c r="AE78" s="52">
        <f>IF(OR($A78="",C78=""),"",ROUND(C78*IF($G$9="평",3.305785,1),2))</f>
      </c>
      <c r="AF78" s="52">
        <f>IF(OR($A78="",D78=""),"",ROUND(D78*IF($G$9="평",3.305785,1),2))</f>
      </c>
    </row>
    <row r="79" ht="18" customHeight="1" spans="1:32" x14ac:dyDescent="0.25">
      <c r="A79" s="41"/>
      <c r="B79" s="41"/>
      <c r="C79" s="42"/>
      <c r="D79" s="42"/>
      <c r="E79" s="43"/>
      <c r="F79" s="44"/>
      <c r="G79" s="45"/>
      <c r="H79" s="45"/>
      <c r="I79" s="45"/>
      <c r="J79" s="46"/>
      <c r="K79" s="46"/>
      <c r="L79" s="46"/>
      <c r="M79" s="44"/>
      <c r="N79" s="44"/>
      <c r="O79" s="44"/>
      <c r="P79" s="43"/>
      <c r="Q79" s="47">
        <f>IF(OR($A79="",C79=""),"",AE79/3.305785)</f>
      </c>
      <c r="R79" s="47">
        <f>IF(OR($A79="",D79=""),"",AF79/3.305785)</f>
      </c>
      <c r="S79" s="48">
        <f>IF(OR($A79="",C79="",D79=""),"",IF(C79&gt;0,D79/C79*100,""))</f>
      </c>
      <c r="T79" s="49">
        <f>IF(OR($A79="",O79&lt;&gt;"임대중",F79&lt;&gt;"상가",G79=""),"",G79+H79*100)</f>
      </c>
      <c r="U79" s="50">
        <f>IF(T79="","",IF(T79&lt;=$C$7,"○ 전면적용","× 초과 (5%상한 미적용)"))</f>
      </c>
      <c r="V79" s="50">
        <f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</c>
      <c r="W79" s="50">
        <f>IF($A79="","",IF(O79="공실","공실",IF(O79="자가사용","자가사용",IF(L79="","만료일 없음",IF(L79&lt;$C$6,"만료 +"&amp;TEXT($C$6-L79,"0")&amp;"일",IF(L79-$C$6&lt;=30,"임박 "&amp;TEXT(L79-$C$6,"0")&amp;"일","유효"))))))</f>
      </c>
      <c r="X79" s="49">
        <f>IF(OR($A79="",O79&lt;&gt;"임대중"),"",IF(H79="",0,H79)+IF(I79="",0,I79))</f>
      </c>
      <c r="Y79" s="49">
        <f>IF(OR($A79="",O79&lt;&gt;"임대중",H79=""),"",IF(B79="",IF(D79="","",ROUND((H79+IF(I79="",0,I79))/(AF79/3.305785),0)),IF(COUNTIFS($B$13:$B$112,B79,$D$13:$D$112,"")&gt;0,"",ROUND((H79+IF(I79="",0,I79))/(SUMIFS($AF$13:$AF$112,$B$13:$B$112,B79)/3.305785),0))))</f>
      </c>
      <c r="Z79" s="44"/>
      <c r="AA79" s="51"/>
      <c r="AB79" s="44"/>
      <c r="AC79" s="50">
        <f>IF($A79="","",IF(O79="공실","공실",IF(O79="자가사용","자가사용",IF(L79="","만료일 없음",IF(L79&lt;$C$6,"만료 경과",IF(L79&lt;=EDATE($C$6,12),"12개월 내","12개월 초과"))))))</f>
      </c>
      <c r="AD79" s="50">
        <f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</c>
      <c r="AE79" s="52">
        <f>IF(OR($A79="",C79=""),"",ROUND(C79*IF($G$9="평",3.305785,1),2))</f>
      </c>
      <c r="AF79" s="52">
        <f>IF(OR($A79="",D79=""),"",ROUND(D79*IF($G$9="평",3.305785,1),2))</f>
      </c>
    </row>
    <row r="80" ht="18" customHeight="1" spans="1:32" x14ac:dyDescent="0.25">
      <c r="A80" s="41"/>
      <c r="B80" s="41"/>
      <c r="C80" s="42"/>
      <c r="D80" s="42"/>
      <c r="E80" s="43"/>
      <c r="F80" s="44"/>
      <c r="G80" s="45"/>
      <c r="H80" s="45"/>
      <c r="I80" s="45"/>
      <c r="J80" s="46"/>
      <c r="K80" s="46"/>
      <c r="L80" s="46"/>
      <c r="M80" s="44"/>
      <c r="N80" s="44"/>
      <c r="O80" s="44"/>
      <c r="P80" s="43"/>
      <c r="Q80" s="47">
        <f>IF(OR($A80="",C80=""),"",AE80/3.305785)</f>
      </c>
      <c r="R80" s="47">
        <f>IF(OR($A80="",D80=""),"",AF80/3.305785)</f>
      </c>
      <c r="S80" s="48">
        <f>IF(OR($A80="",C80="",D80=""),"",IF(C80&gt;0,D80/C80*100,""))</f>
      </c>
      <c r="T80" s="49">
        <f>IF(OR($A80="",O80&lt;&gt;"임대중",F80&lt;&gt;"상가",G80=""),"",G80+H80*100)</f>
      </c>
      <c r="U80" s="50">
        <f>IF(T80="","",IF(T80&lt;=$C$7,"○ 전면적용","× 초과 (5%상한 미적용)"))</f>
      </c>
      <c r="V80" s="50">
        <f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</c>
      <c r="W80" s="50">
        <f>IF($A80="","",IF(O80="공실","공실",IF(O80="자가사용","자가사용",IF(L80="","만료일 없음",IF(L80&lt;$C$6,"만료 +"&amp;TEXT($C$6-L80,"0")&amp;"일",IF(L80-$C$6&lt;=30,"임박 "&amp;TEXT(L80-$C$6,"0")&amp;"일","유효"))))))</f>
      </c>
      <c r="X80" s="49">
        <f>IF(OR($A80="",O80&lt;&gt;"임대중"),"",IF(H80="",0,H80)+IF(I80="",0,I80))</f>
      </c>
      <c r="Y80" s="49">
        <f>IF(OR($A80="",O80&lt;&gt;"임대중",H80=""),"",IF(B80="",IF(D80="","",ROUND((H80+IF(I80="",0,I80))/(AF80/3.305785),0)),IF(COUNTIFS($B$13:$B$112,B80,$D$13:$D$112,"")&gt;0,"",ROUND((H80+IF(I80="",0,I80))/(SUMIFS($AF$13:$AF$112,$B$13:$B$112,B80)/3.305785),0))))</f>
      </c>
      <c r="Z80" s="44"/>
      <c r="AA80" s="51"/>
      <c r="AB80" s="44"/>
      <c r="AC80" s="50">
        <f>IF($A80="","",IF(O80="공실","공실",IF(O80="자가사용","자가사용",IF(L80="","만료일 없음",IF(L80&lt;$C$6,"만료 경과",IF(L80&lt;=EDATE($C$6,12),"12개월 내","12개월 초과"))))))</f>
      </c>
      <c r="AD80" s="50">
        <f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</c>
      <c r="AE80" s="52">
        <f>IF(OR($A80="",C80=""),"",ROUND(C80*IF($G$9="평",3.305785,1),2))</f>
      </c>
      <c r="AF80" s="52">
        <f>IF(OR($A80="",D80=""),"",ROUND(D80*IF($G$9="평",3.305785,1),2))</f>
      </c>
    </row>
    <row r="81" ht="18" customHeight="1" spans="1:32" x14ac:dyDescent="0.25">
      <c r="A81" s="41"/>
      <c r="B81" s="41"/>
      <c r="C81" s="42"/>
      <c r="D81" s="42"/>
      <c r="E81" s="43"/>
      <c r="F81" s="44"/>
      <c r="G81" s="45"/>
      <c r="H81" s="45"/>
      <c r="I81" s="45"/>
      <c r="J81" s="46"/>
      <c r="K81" s="46"/>
      <c r="L81" s="46"/>
      <c r="M81" s="44"/>
      <c r="N81" s="44"/>
      <c r="O81" s="44"/>
      <c r="P81" s="43"/>
      <c r="Q81" s="47">
        <f>IF(OR($A81="",C81=""),"",AE81/3.305785)</f>
      </c>
      <c r="R81" s="47">
        <f>IF(OR($A81="",D81=""),"",AF81/3.305785)</f>
      </c>
      <c r="S81" s="48">
        <f>IF(OR($A81="",C81="",D81=""),"",IF(C81&gt;0,D81/C81*100,""))</f>
      </c>
      <c r="T81" s="49">
        <f>IF(OR($A81="",O81&lt;&gt;"임대중",F81&lt;&gt;"상가",G81=""),"",G81+H81*100)</f>
      </c>
      <c r="U81" s="50">
        <f>IF(T81="","",IF(T81&lt;=$C$7,"○ 전면적용","× 초과 (5%상한 미적용)"))</f>
      </c>
      <c r="V81" s="50">
        <f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</c>
      <c r="W81" s="50">
        <f>IF($A81="","",IF(O81="공실","공실",IF(O81="자가사용","자가사용",IF(L81="","만료일 없음",IF(L81&lt;$C$6,"만료 +"&amp;TEXT($C$6-L81,"0")&amp;"일",IF(L81-$C$6&lt;=30,"임박 "&amp;TEXT(L81-$C$6,"0")&amp;"일","유효"))))))</f>
      </c>
      <c r="X81" s="49">
        <f>IF(OR($A81="",O81&lt;&gt;"임대중"),"",IF(H81="",0,H81)+IF(I81="",0,I81))</f>
      </c>
      <c r="Y81" s="49">
        <f>IF(OR($A81="",O81&lt;&gt;"임대중",H81=""),"",IF(B81="",IF(D81="","",ROUND((H81+IF(I81="",0,I81))/(AF81/3.305785),0)),IF(COUNTIFS($B$13:$B$112,B81,$D$13:$D$112,"")&gt;0,"",ROUND((H81+IF(I81="",0,I81))/(SUMIFS($AF$13:$AF$112,$B$13:$B$112,B81)/3.305785),0))))</f>
      </c>
      <c r="Z81" s="44"/>
      <c r="AA81" s="51"/>
      <c r="AB81" s="44"/>
      <c r="AC81" s="50">
        <f>IF($A81="","",IF(O81="공실","공실",IF(O81="자가사용","자가사용",IF(L81="","만료일 없음",IF(L81&lt;$C$6,"만료 경과",IF(L81&lt;=EDATE($C$6,12),"12개월 내","12개월 초과"))))))</f>
      </c>
      <c r="AD81" s="50">
        <f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</c>
      <c r="AE81" s="52">
        <f>IF(OR($A81="",C81=""),"",ROUND(C81*IF($G$9="평",3.305785,1),2))</f>
      </c>
      <c r="AF81" s="52">
        <f>IF(OR($A81="",D81=""),"",ROUND(D81*IF($G$9="평",3.305785,1),2))</f>
      </c>
    </row>
    <row r="82" ht="18" customHeight="1" spans="1:32" x14ac:dyDescent="0.25">
      <c r="A82" s="41"/>
      <c r="B82" s="41"/>
      <c r="C82" s="42"/>
      <c r="D82" s="42"/>
      <c r="E82" s="43"/>
      <c r="F82" s="44"/>
      <c r="G82" s="45"/>
      <c r="H82" s="45"/>
      <c r="I82" s="45"/>
      <c r="J82" s="46"/>
      <c r="K82" s="46"/>
      <c r="L82" s="46"/>
      <c r="M82" s="44"/>
      <c r="N82" s="44"/>
      <c r="O82" s="44"/>
      <c r="P82" s="43"/>
      <c r="Q82" s="47">
        <f>IF(OR($A82="",C82=""),"",AE82/3.305785)</f>
      </c>
      <c r="R82" s="47">
        <f>IF(OR($A82="",D82=""),"",AF82/3.305785)</f>
      </c>
      <c r="S82" s="48">
        <f>IF(OR($A82="",C82="",D82=""),"",IF(C82&gt;0,D82/C82*100,""))</f>
      </c>
      <c r="T82" s="49">
        <f>IF(OR($A82="",O82&lt;&gt;"임대중",F82&lt;&gt;"상가",G82=""),"",G82+H82*100)</f>
      </c>
      <c r="U82" s="50">
        <f>IF(T82="","",IF(T82&lt;=$C$7,"○ 전면적용","× 초과 (5%상한 미적용)"))</f>
      </c>
      <c r="V82" s="50">
        <f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</c>
      <c r="W82" s="50">
        <f>IF($A82="","",IF(O82="공실","공실",IF(O82="자가사용","자가사용",IF(L82="","만료일 없음",IF(L82&lt;$C$6,"만료 +"&amp;TEXT($C$6-L82,"0")&amp;"일",IF(L82-$C$6&lt;=30,"임박 "&amp;TEXT(L82-$C$6,"0")&amp;"일","유효"))))))</f>
      </c>
      <c r="X82" s="49">
        <f>IF(OR($A82="",O82&lt;&gt;"임대중"),"",IF(H82="",0,H82)+IF(I82="",0,I82))</f>
      </c>
      <c r="Y82" s="49">
        <f>IF(OR($A82="",O82&lt;&gt;"임대중",H82=""),"",IF(B82="",IF(D82="","",ROUND((H82+IF(I82="",0,I82))/(AF82/3.305785),0)),IF(COUNTIFS($B$13:$B$112,B82,$D$13:$D$112,"")&gt;0,"",ROUND((H82+IF(I82="",0,I82))/(SUMIFS($AF$13:$AF$112,$B$13:$B$112,B82)/3.305785),0))))</f>
      </c>
      <c r="Z82" s="44"/>
      <c r="AA82" s="51"/>
      <c r="AB82" s="44"/>
      <c r="AC82" s="50">
        <f>IF($A82="","",IF(O82="공실","공실",IF(O82="자가사용","자가사용",IF(L82="","만료일 없음",IF(L82&lt;$C$6,"만료 경과",IF(L82&lt;=EDATE($C$6,12),"12개월 내","12개월 초과"))))))</f>
      </c>
      <c r="AD82" s="50">
        <f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</c>
      <c r="AE82" s="52">
        <f>IF(OR($A82="",C82=""),"",ROUND(C82*IF($G$9="평",3.305785,1),2))</f>
      </c>
      <c r="AF82" s="52">
        <f>IF(OR($A82="",D82=""),"",ROUND(D82*IF($G$9="평",3.305785,1),2))</f>
      </c>
    </row>
    <row r="83" ht="18" customHeight="1" spans="1:32" x14ac:dyDescent="0.25">
      <c r="A83" s="41"/>
      <c r="B83" s="41"/>
      <c r="C83" s="42"/>
      <c r="D83" s="42"/>
      <c r="E83" s="43"/>
      <c r="F83" s="44"/>
      <c r="G83" s="45"/>
      <c r="H83" s="45"/>
      <c r="I83" s="45"/>
      <c r="J83" s="46"/>
      <c r="K83" s="46"/>
      <c r="L83" s="46"/>
      <c r="M83" s="44"/>
      <c r="N83" s="44"/>
      <c r="O83" s="44"/>
      <c r="P83" s="43"/>
      <c r="Q83" s="47">
        <f>IF(OR($A83="",C83=""),"",AE83/3.305785)</f>
      </c>
      <c r="R83" s="47">
        <f>IF(OR($A83="",D83=""),"",AF83/3.305785)</f>
      </c>
      <c r="S83" s="48">
        <f>IF(OR($A83="",C83="",D83=""),"",IF(C83&gt;0,D83/C83*100,""))</f>
      </c>
      <c r="T83" s="49">
        <f>IF(OR($A83="",O83&lt;&gt;"임대중",F83&lt;&gt;"상가",G83=""),"",G83+H83*100)</f>
      </c>
      <c r="U83" s="50">
        <f>IF(T83="","",IF(T83&lt;=$C$7,"○ 전면적용","× 초과 (5%상한 미적용)"))</f>
      </c>
      <c r="V83" s="50">
        <f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</c>
      <c r="W83" s="50">
        <f>IF($A83="","",IF(O83="공실","공실",IF(O83="자가사용","자가사용",IF(L83="","만료일 없음",IF(L83&lt;$C$6,"만료 +"&amp;TEXT($C$6-L83,"0")&amp;"일",IF(L83-$C$6&lt;=30,"임박 "&amp;TEXT(L83-$C$6,"0")&amp;"일","유효"))))))</f>
      </c>
      <c r="X83" s="49">
        <f>IF(OR($A83="",O83&lt;&gt;"임대중"),"",IF(H83="",0,H83)+IF(I83="",0,I83))</f>
      </c>
      <c r="Y83" s="49">
        <f>IF(OR($A83="",O83&lt;&gt;"임대중",H83=""),"",IF(B83="",IF(D83="","",ROUND((H83+IF(I83="",0,I83))/(AF83/3.305785),0)),IF(COUNTIFS($B$13:$B$112,B83,$D$13:$D$112,"")&gt;0,"",ROUND((H83+IF(I83="",0,I83))/(SUMIFS($AF$13:$AF$112,$B$13:$B$112,B83)/3.305785),0))))</f>
      </c>
      <c r="Z83" s="44"/>
      <c r="AA83" s="51"/>
      <c r="AB83" s="44"/>
      <c r="AC83" s="50">
        <f>IF($A83="","",IF(O83="공실","공실",IF(O83="자가사용","자가사용",IF(L83="","만료일 없음",IF(L83&lt;$C$6,"만료 경과",IF(L83&lt;=EDATE($C$6,12),"12개월 내","12개월 초과"))))))</f>
      </c>
      <c r="AD83" s="50">
        <f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</c>
      <c r="AE83" s="52">
        <f>IF(OR($A83="",C83=""),"",ROUND(C83*IF($G$9="평",3.305785,1),2))</f>
      </c>
      <c r="AF83" s="52">
        <f>IF(OR($A83="",D83=""),"",ROUND(D83*IF($G$9="평",3.305785,1),2))</f>
      </c>
    </row>
    <row r="84" ht="18" customHeight="1" spans="1:32" x14ac:dyDescent="0.25">
      <c r="A84" s="41"/>
      <c r="B84" s="41"/>
      <c r="C84" s="42"/>
      <c r="D84" s="42"/>
      <c r="E84" s="43"/>
      <c r="F84" s="44"/>
      <c r="G84" s="45"/>
      <c r="H84" s="45"/>
      <c r="I84" s="45"/>
      <c r="J84" s="46"/>
      <c r="K84" s="46"/>
      <c r="L84" s="46"/>
      <c r="M84" s="44"/>
      <c r="N84" s="44"/>
      <c r="O84" s="44"/>
      <c r="P84" s="43"/>
      <c r="Q84" s="47">
        <f>IF(OR($A84="",C84=""),"",AE84/3.305785)</f>
      </c>
      <c r="R84" s="47">
        <f>IF(OR($A84="",D84=""),"",AF84/3.305785)</f>
      </c>
      <c r="S84" s="48">
        <f>IF(OR($A84="",C84="",D84=""),"",IF(C84&gt;0,D84/C84*100,""))</f>
      </c>
      <c r="T84" s="49">
        <f>IF(OR($A84="",O84&lt;&gt;"임대중",F84&lt;&gt;"상가",G84=""),"",G84+H84*100)</f>
      </c>
      <c r="U84" s="50">
        <f>IF(T84="","",IF(T84&lt;=$C$7,"○ 전면적용","× 초과 (5%상한 미적용)"))</f>
      </c>
      <c r="V84" s="50">
        <f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</c>
      <c r="W84" s="50">
        <f>IF($A84="","",IF(O84="공실","공실",IF(O84="자가사용","자가사용",IF(L84="","만료일 없음",IF(L84&lt;$C$6,"만료 +"&amp;TEXT($C$6-L84,"0")&amp;"일",IF(L84-$C$6&lt;=30,"임박 "&amp;TEXT(L84-$C$6,"0")&amp;"일","유효"))))))</f>
      </c>
      <c r="X84" s="49">
        <f>IF(OR($A84="",O84&lt;&gt;"임대중"),"",IF(H84="",0,H84)+IF(I84="",0,I84))</f>
      </c>
      <c r="Y84" s="49">
        <f>IF(OR($A84="",O84&lt;&gt;"임대중",H84=""),"",IF(B84="",IF(D84="","",ROUND((H84+IF(I84="",0,I84))/(AF84/3.305785),0)),IF(COUNTIFS($B$13:$B$112,B84,$D$13:$D$112,"")&gt;0,"",ROUND((H84+IF(I84="",0,I84))/(SUMIFS($AF$13:$AF$112,$B$13:$B$112,B84)/3.305785),0))))</f>
      </c>
      <c r="Z84" s="44"/>
      <c r="AA84" s="51"/>
      <c r="AB84" s="44"/>
      <c r="AC84" s="50">
        <f>IF($A84="","",IF(O84="공실","공실",IF(O84="자가사용","자가사용",IF(L84="","만료일 없음",IF(L84&lt;$C$6,"만료 경과",IF(L84&lt;=EDATE($C$6,12),"12개월 내","12개월 초과"))))))</f>
      </c>
      <c r="AD84" s="50">
        <f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</c>
      <c r="AE84" s="52">
        <f>IF(OR($A84="",C84=""),"",ROUND(C84*IF($G$9="평",3.305785,1),2))</f>
      </c>
      <c r="AF84" s="52">
        <f>IF(OR($A84="",D84=""),"",ROUND(D84*IF($G$9="평",3.305785,1),2))</f>
      </c>
    </row>
    <row r="85" ht="18" customHeight="1" spans="1:32" x14ac:dyDescent="0.25">
      <c r="A85" s="41"/>
      <c r="B85" s="41"/>
      <c r="C85" s="42"/>
      <c r="D85" s="42"/>
      <c r="E85" s="43"/>
      <c r="F85" s="44"/>
      <c r="G85" s="45"/>
      <c r="H85" s="45"/>
      <c r="I85" s="45"/>
      <c r="J85" s="46"/>
      <c r="K85" s="46"/>
      <c r="L85" s="46"/>
      <c r="M85" s="44"/>
      <c r="N85" s="44"/>
      <c r="O85" s="44"/>
      <c r="P85" s="43"/>
      <c r="Q85" s="47">
        <f>IF(OR($A85="",C85=""),"",AE85/3.305785)</f>
      </c>
      <c r="R85" s="47">
        <f>IF(OR($A85="",D85=""),"",AF85/3.305785)</f>
      </c>
      <c r="S85" s="48">
        <f>IF(OR($A85="",C85="",D85=""),"",IF(C85&gt;0,D85/C85*100,""))</f>
      </c>
      <c r="T85" s="49">
        <f>IF(OR($A85="",O85&lt;&gt;"임대중",F85&lt;&gt;"상가",G85=""),"",G85+H85*100)</f>
      </c>
      <c r="U85" s="50">
        <f>IF(T85="","",IF(T85&lt;=$C$7,"○ 전면적용","× 초과 (5%상한 미적용)"))</f>
      </c>
      <c r="V85" s="50">
        <f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</c>
      <c r="W85" s="50">
        <f>IF($A85="","",IF(O85="공실","공실",IF(O85="자가사용","자가사용",IF(L85="","만료일 없음",IF(L85&lt;$C$6,"만료 +"&amp;TEXT($C$6-L85,"0")&amp;"일",IF(L85-$C$6&lt;=30,"임박 "&amp;TEXT(L85-$C$6,"0")&amp;"일","유효"))))))</f>
      </c>
      <c r="X85" s="49">
        <f>IF(OR($A85="",O85&lt;&gt;"임대중"),"",IF(H85="",0,H85)+IF(I85="",0,I85))</f>
      </c>
      <c r="Y85" s="49">
        <f>IF(OR($A85="",O85&lt;&gt;"임대중",H85=""),"",IF(B85="",IF(D85="","",ROUND((H85+IF(I85="",0,I85))/(AF85/3.305785),0)),IF(COUNTIFS($B$13:$B$112,B85,$D$13:$D$112,"")&gt;0,"",ROUND((H85+IF(I85="",0,I85))/(SUMIFS($AF$13:$AF$112,$B$13:$B$112,B85)/3.305785),0))))</f>
      </c>
      <c r="Z85" s="44"/>
      <c r="AA85" s="51"/>
      <c r="AB85" s="44"/>
      <c r="AC85" s="50">
        <f>IF($A85="","",IF(O85="공실","공실",IF(O85="자가사용","자가사용",IF(L85="","만료일 없음",IF(L85&lt;$C$6,"만료 경과",IF(L85&lt;=EDATE($C$6,12),"12개월 내","12개월 초과"))))))</f>
      </c>
      <c r="AD85" s="50">
        <f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</c>
      <c r="AE85" s="52">
        <f>IF(OR($A85="",C85=""),"",ROUND(C85*IF($G$9="평",3.305785,1),2))</f>
      </c>
      <c r="AF85" s="52">
        <f>IF(OR($A85="",D85=""),"",ROUND(D85*IF($G$9="평",3.305785,1),2))</f>
      </c>
    </row>
    <row r="86" ht="18" customHeight="1" spans="1:32" x14ac:dyDescent="0.25">
      <c r="A86" s="41"/>
      <c r="B86" s="41"/>
      <c r="C86" s="42"/>
      <c r="D86" s="42"/>
      <c r="E86" s="43"/>
      <c r="F86" s="44"/>
      <c r="G86" s="45"/>
      <c r="H86" s="45"/>
      <c r="I86" s="45"/>
      <c r="J86" s="46"/>
      <c r="K86" s="46"/>
      <c r="L86" s="46"/>
      <c r="M86" s="44"/>
      <c r="N86" s="44"/>
      <c r="O86" s="44"/>
      <c r="P86" s="43"/>
      <c r="Q86" s="47">
        <f>IF(OR($A86="",C86=""),"",AE86/3.305785)</f>
      </c>
      <c r="R86" s="47">
        <f>IF(OR($A86="",D86=""),"",AF86/3.305785)</f>
      </c>
      <c r="S86" s="48">
        <f>IF(OR($A86="",C86="",D86=""),"",IF(C86&gt;0,D86/C86*100,""))</f>
      </c>
      <c r="T86" s="49">
        <f>IF(OR($A86="",O86&lt;&gt;"임대중",F86&lt;&gt;"상가",G86=""),"",G86+H86*100)</f>
      </c>
      <c r="U86" s="50">
        <f>IF(T86="","",IF(T86&lt;=$C$7,"○ 전면적용","× 초과 (5%상한 미적용)"))</f>
      </c>
      <c r="V86" s="50">
        <f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</c>
      <c r="W86" s="50">
        <f>IF($A86="","",IF(O86="공실","공실",IF(O86="자가사용","자가사용",IF(L86="","만료일 없음",IF(L86&lt;$C$6,"만료 +"&amp;TEXT($C$6-L86,"0")&amp;"일",IF(L86-$C$6&lt;=30,"임박 "&amp;TEXT(L86-$C$6,"0")&amp;"일","유효"))))))</f>
      </c>
      <c r="X86" s="49">
        <f>IF(OR($A86="",O86&lt;&gt;"임대중"),"",IF(H86="",0,H86)+IF(I86="",0,I86))</f>
      </c>
      <c r="Y86" s="49">
        <f>IF(OR($A86="",O86&lt;&gt;"임대중",H86=""),"",IF(B86="",IF(D86="","",ROUND((H86+IF(I86="",0,I86))/(AF86/3.305785),0)),IF(COUNTIFS($B$13:$B$112,B86,$D$13:$D$112,"")&gt;0,"",ROUND((H86+IF(I86="",0,I86))/(SUMIFS($AF$13:$AF$112,$B$13:$B$112,B86)/3.305785),0))))</f>
      </c>
      <c r="Z86" s="44"/>
      <c r="AA86" s="51"/>
      <c r="AB86" s="44"/>
      <c r="AC86" s="50">
        <f>IF($A86="","",IF(O86="공실","공실",IF(O86="자가사용","자가사용",IF(L86="","만료일 없음",IF(L86&lt;$C$6,"만료 경과",IF(L86&lt;=EDATE($C$6,12),"12개월 내","12개월 초과"))))))</f>
      </c>
      <c r="AD86" s="50">
        <f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</c>
      <c r="AE86" s="52">
        <f>IF(OR($A86="",C86=""),"",ROUND(C86*IF($G$9="평",3.305785,1),2))</f>
      </c>
      <c r="AF86" s="52">
        <f>IF(OR($A86="",D86=""),"",ROUND(D86*IF($G$9="평",3.305785,1),2))</f>
      </c>
    </row>
    <row r="87" ht="18" customHeight="1" spans="1:32" x14ac:dyDescent="0.25">
      <c r="A87" s="41"/>
      <c r="B87" s="41"/>
      <c r="C87" s="42"/>
      <c r="D87" s="42"/>
      <c r="E87" s="43"/>
      <c r="F87" s="44"/>
      <c r="G87" s="45"/>
      <c r="H87" s="45"/>
      <c r="I87" s="45"/>
      <c r="J87" s="46"/>
      <c r="K87" s="46"/>
      <c r="L87" s="46"/>
      <c r="M87" s="44"/>
      <c r="N87" s="44"/>
      <c r="O87" s="44"/>
      <c r="P87" s="43"/>
      <c r="Q87" s="47">
        <f>IF(OR($A87="",C87=""),"",AE87/3.305785)</f>
      </c>
      <c r="R87" s="47">
        <f>IF(OR($A87="",D87=""),"",AF87/3.305785)</f>
      </c>
      <c r="S87" s="48">
        <f>IF(OR($A87="",C87="",D87=""),"",IF(C87&gt;0,D87/C87*100,""))</f>
      </c>
      <c r="T87" s="49">
        <f>IF(OR($A87="",O87&lt;&gt;"임대중",F87&lt;&gt;"상가",G87=""),"",G87+H87*100)</f>
      </c>
      <c r="U87" s="50">
        <f>IF(T87="","",IF(T87&lt;=$C$7,"○ 전면적용","× 초과 (5%상한 미적용)"))</f>
      </c>
      <c r="V87" s="50">
        <f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</c>
      <c r="W87" s="50">
        <f>IF($A87="","",IF(O87="공실","공실",IF(O87="자가사용","자가사용",IF(L87="","만료일 없음",IF(L87&lt;$C$6,"만료 +"&amp;TEXT($C$6-L87,"0")&amp;"일",IF(L87-$C$6&lt;=30,"임박 "&amp;TEXT(L87-$C$6,"0")&amp;"일","유효"))))))</f>
      </c>
      <c r="X87" s="49">
        <f>IF(OR($A87="",O87&lt;&gt;"임대중"),"",IF(H87="",0,H87)+IF(I87="",0,I87))</f>
      </c>
      <c r="Y87" s="49">
        <f>IF(OR($A87="",O87&lt;&gt;"임대중",H87=""),"",IF(B87="",IF(D87="","",ROUND((H87+IF(I87="",0,I87))/(AF87/3.305785),0)),IF(COUNTIFS($B$13:$B$112,B87,$D$13:$D$112,"")&gt;0,"",ROUND((H87+IF(I87="",0,I87))/(SUMIFS($AF$13:$AF$112,$B$13:$B$112,B87)/3.305785),0))))</f>
      </c>
      <c r="Z87" s="44"/>
      <c r="AA87" s="51"/>
      <c r="AB87" s="44"/>
      <c r="AC87" s="50">
        <f>IF($A87="","",IF(O87="공실","공실",IF(O87="자가사용","자가사용",IF(L87="","만료일 없음",IF(L87&lt;$C$6,"만료 경과",IF(L87&lt;=EDATE($C$6,12),"12개월 내","12개월 초과"))))))</f>
      </c>
      <c r="AD87" s="50">
        <f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</c>
      <c r="AE87" s="52">
        <f>IF(OR($A87="",C87=""),"",ROUND(C87*IF($G$9="평",3.305785,1),2))</f>
      </c>
      <c r="AF87" s="52">
        <f>IF(OR($A87="",D87=""),"",ROUND(D87*IF($G$9="평",3.305785,1),2))</f>
      </c>
    </row>
    <row r="88" ht="18" customHeight="1" spans="1:32" x14ac:dyDescent="0.25">
      <c r="A88" s="41"/>
      <c r="B88" s="41"/>
      <c r="C88" s="42"/>
      <c r="D88" s="42"/>
      <c r="E88" s="43"/>
      <c r="F88" s="44"/>
      <c r="G88" s="45"/>
      <c r="H88" s="45"/>
      <c r="I88" s="45"/>
      <c r="J88" s="46"/>
      <c r="K88" s="46"/>
      <c r="L88" s="46"/>
      <c r="M88" s="44"/>
      <c r="N88" s="44"/>
      <c r="O88" s="44"/>
      <c r="P88" s="43"/>
      <c r="Q88" s="47">
        <f>IF(OR($A88="",C88=""),"",AE88/3.305785)</f>
      </c>
      <c r="R88" s="47">
        <f>IF(OR($A88="",D88=""),"",AF88/3.305785)</f>
      </c>
      <c r="S88" s="48">
        <f>IF(OR($A88="",C88="",D88=""),"",IF(C88&gt;0,D88/C88*100,""))</f>
      </c>
      <c r="T88" s="49">
        <f>IF(OR($A88="",O88&lt;&gt;"임대중",F88&lt;&gt;"상가",G88=""),"",G88+H88*100)</f>
      </c>
      <c r="U88" s="50">
        <f>IF(T88="","",IF(T88&lt;=$C$7,"○ 전면적용","× 초과 (5%상한 미적용)"))</f>
      </c>
      <c r="V88" s="50">
        <f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</c>
      <c r="W88" s="50">
        <f>IF($A88="","",IF(O88="공실","공실",IF(O88="자가사용","자가사용",IF(L88="","만료일 없음",IF(L88&lt;$C$6,"만료 +"&amp;TEXT($C$6-L88,"0")&amp;"일",IF(L88-$C$6&lt;=30,"임박 "&amp;TEXT(L88-$C$6,"0")&amp;"일","유효"))))))</f>
      </c>
      <c r="X88" s="49">
        <f>IF(OR($A88="",O88&lt;&gt;"임대중"),"",IF(H88="",0,H88)+IF(I88="",0,I88))</f>
      </c>
      <c r="Y88" s="49">
        <f>IF(OR($A88="",O88&lt;&gt;"임대중",H88=""),"",IF(B88="",IF(D88="","",ROUND((H88+IF(I88="",0,I88))/(AF88/3.305785),0)),IF(COUNTIFS($B$13:$B$112,B88,$D$13:$D$112,"")&gt;0,"",ROUND((H88+IF(I88="",0,I88))/(SUMIFS($AF$13:$AF$112,$B$13:$B$112,B88)/3.305785),0))))</f>
      </c>
      <c r="Z88" s="44"/>
      <c r="AA88" s="51"/>
      <c r="AB88" s="44"/>
      <c r="AC88" s="50">
        <f>IF($A88="","",IF(O88="공실","공실",IF(O88="자가사용","자가사용",IF(L88="","만료일 없음",IF(L88&lt;$C$6,"만료 경과",IF(L88&lt;=EDATE($C$6,12),"12개월 내","12개월 초과"))))))</f>
      </c>
      <c r="AD88" s="50">
        <f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</c>
      <c r="AE88" s="52">
        <f>IF(OR($A88="",C88=""),"",ROUND(C88*IF($G$9="평",3.305785,1),2))</f>
      </c>
      <c r="AF88" s="52">
        <f>IF(OR($A88="",D88=""),"",ROUND(D88*IF($G$9="평",3.305785,1),2))</f>
      </c>
    </row>
    <row r="89" ht="18" customHeight="1" spans="1:32" x14ac:dyDescent="0.25">
      <c r="A89" s="41"/>
      <c r="B89" s="41"/>
      <c r="C89" s="42"/>
      <c r="D89" s="42"/>
      <c r="E89" s="43"/>
      <c r="F89" s="44"/>
      <c r="G89" s="45"/>
      <c r="H89" s="45"/>
      <c r="I89" s="45"/>
      <c r="J89" s="46"/>
      <c r="K89" s="46"/>
      <c r="L89" s="46"/>
      <c r="M89" s="44"/>
      <c r="N89" s="44"/>
      <c r="O89" s="44"/>
      <c r="P89" s="43"/>
      <c r="Q89" s="47">
        <f>IF(OR($A89="",C89=""),"",AE89/3.305785)</f>
      </c>
      <c r="R89" s="47">
        <f>IF(OR($A89="",D89=""),"",AF89/3.305785)</f>
      </c>
      <c r="S89" s="48">
        <f>IF(OR($A89="",C89="",D89=""),"",IF(C89&gt;0,D89/C89*100,""))</f>
      </c>
      <c r="T89" s="49">
        <f>IF(OR($A89="",O89&lt;&gt;"임대중",F89&lt;&gt;"상가",G89=""),"",G89+H89*100)</f>
      </c>
      <c r="U89" s="50">
        <f>IF(T89="","",IF(T89&lt;=$C$7,"○ 전면적용","× 초과 (5%상한 미적용)"))</f>
      </c>
      <c r="V89" s="50">
        <f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</c>
      <c r="W89" s="50">
        <f>IF($A89="","",IF(O89="공실","공실",IF(O89="자가사용","자가사용",IF(L89="","만료일 없음",IF(L89&lt;$C$6,"만료 +"&amp;TEXT($C$6-L89,"0")&amp;"일",IF(L89-$C$6&lt;=30,"임박 "&amp;TEXT(L89-$C$6,"0")&amp;"일","유효"))))))</f>
      </c>
      <c r="X89" s="49">
        <f>IF(OR($A89="",O89&lt;&gt;"임대중"),"",IF(H89="",0,H89)+IF(I89="",0,I89))</f>
      </c>
      <c r="Y89" s="49">
        <f>IF(OR($A89="",O89&lt;&gt;"임대중",H89=""),"",IF(B89="",IF(D89="","",ROUND((H89+IF(I89="",0,I89))/(AF89/3.305785),0)),IF(COUNTIFS($B$13:$B$112,B89,$D$13:$D$112,"")&gt;0,"",ROUND((H89+IF(I89="",0,I89))/(SUMIFS($AF$13:$AF$112,$B$13:$B$112,B89)/3.305785),0))))</f>
      </c>
      <c r="Z89" s="44"/>
      <c r="AA89" s="51"/>
      <c r="AB89" s="44"/>
      <c r="AC89" s="50">
        <f>IF($A89="","",IF(O89="공실","공실",IF(O89="자가사용","자가사용",IF(L89="","만료일 없음",IF(L89&lt;$C$6,"만료 경과",IF(L89&lt;=EDATE($C$6,12),"12개월 내","12개월 초과"))))))</f>
      </c>
      <c r="AD89" s="50">
        <f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</c>
      <c r="AE89" s="52">
        <f>IF(OR($A89="",C89=""),"",ROUND(C89*IF($G$9="평",3.305785,1),2))</f>
      </c>
      <c r="AF89" s="52">
        <f>IF(OR($A89="",D89=""),"",ROUND(D89*IF($G$9="평",3.305785,1),2))</f>
      </c>
    </row>
    <row r="90" ht="18" customHeight="1" spans="1:32" x14ac:dyDescent="0.25">
      <c r="A90" s="41"/>
      <c r="B90" s="41"/>
      <c r="C90" s="42"/>
      <c r="D90" s="42"/>
      <c r="E90" s="43"/>
      <c r="F90" s="44"/>
      <c r="G90" s="45"/>
      <c r="H90" s="45"/>
      <c r="I90" s="45"/>
      <c r="J90" s="46"/>
      <c r="K90" s="46"/>
      <c r="L90" s="46"/>
      <c r="M90" s="44"/>
      <c r="N90" s="44"/>
      <c r="O90" s="44"/>
      <c r="P90" s="43"/>
      <c r="Q90" s="47">
        <f>IF(OR($A90="",C90=""),"",AE90/3.305785)</f>
      </c>
      <c r="R90" s="47">
        <f>IF(OR($A90="",D90=""),"",AF90/3.305785)</f>
      </c>
      <c r="S90" s="48">
        <f>IF(OR($A90="",C90="",D90=""),"",IF(C90&gt;0,D90/C90*100,""))</f>
      </c>
      <c r="T90" s="49">
        <f>IF(OR($A90="",O90&lt;&gt;"임대중",F90&lt;&gt;"상가",G90=""),"",G90+H90*100)</f>
      </c>
      <c r="U90" s="50">
        <f>IF(T90="","",IF(T90&lt;=$C$7,"○ 전면적용","× 초과 (5%상한 미적용)"))</f>
      </c>
      <c r="V90" s="50">
        <f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</c>
      <c r="W90" s="50">
        <f>IF($A90="","",IF(O90="공실","공실",IF(O90="자가사용","자가사용",IF(L90="","만료일 없음",IF(L90&lt;$C$6,"만료 +"&amp;TEXT($C$6-L90,"0")&amp;"일",IF(L90-$C$6&lt;=30,"임박 "&amp;TEXT(L90-$C$6,"0")&amp;"일","유효"))))))</f>
      </c>
      <c r="X90" s="49">
        <f>IF(OR($A90="",O90&lt;&gt;"임대중"),"",IF(H90="",0,H90)+IF(I90="",0,I90))</f>
      </c>
      <c r="Y90" s="49">
        <f>IF(OR($A90="",O90&lt;&gt;"임대중",H90=""),"",IF(B90="",IF(D90="","",ROUND((H90+IF(I90="",0,I90))/(AF90/3.305785),0)),IF(COUNTIFS($B$13:$B$112,B90,$D$13:$D$112,"")&gt;0,"",ROUND((H90+IF(I90="",0,I90))/(SUMIFS($AF$13:$AF$112,$B$13:$B$112,B90)/3.305785),0))))</f>
      </c>
      <c r="Z90" s="44"/>
      <c r="AA90" s="51"/>
      <c r="AB90" s="44"/>
      <c r="AC90" s="50">
        <f>IF($A90="","",IF(O90="공실","공실",IF(O90="자가사용","자가사용",IF(L90="","만료일 없음",IF(L90&lt;$C$6,"만료 경과",IF(L90&lt;=EDATE($C$6,12),"12개월 내","12개월 초과"))))))</f>
      </c>
      <c r="AD90" s="50">
        <f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</c>
      <c r="AE90" s="52">
        <f>IF(OR($A90="",C90=""),"",ROUND(C90*IF($G$9="평",3.305785,1),2))</f>
      </c>
      <c r="AF90" s="52">
        <f>IF(OR($A90="",D90=""),"",ROUND(D90*IF($G$9="평",3.305785,1),2))</f>
      </c>
    </row>
    <row r="91" ht="18" customHeight="1" spans="1:32" x14ac:dyDescent="0.25">
      <c r="A91" s="41"/>
      <c r="B91" s="41"/>
      <c r="C91" s="42"/>
      <c r="D91" s="42"/>
      <c r="E91" s="43"/>
      <c r="F91" s="44"/>
      <c r="G91" s="45"/>
      <c r="H91" s="45"/>
      <c r="I91" s="45"/>
      <c r="J91" s="46"/>
      <c r="K91" s="46"/>
      <c r="L91" s="46"/>
      <c r="M91" s="44"/>
      <c r="N91" s="44"/>
      <c r="O91" s="44"/>
      <c r="P91" s="43"/>
      <c r="Q91" s="47">
        <f>IF(OR($A91="",C91=""),"",AE91/3.305785)</f>
      </c>
      <c r="R91" s="47">
        <f>IF(OR($A91="",D91=""),"",AF91/3.305785)</f>
      </c>
      <c r="S91" s="48">
        <f>IF(OR($A91="",C91="",D91=""),"",IF(C91&gt;0,D91/C91*100,""))</f>
      </c>
      <c r="T91" s="49">
        <f>IF(OR($A91="",O91&lt;&gt;"임대중",F91&lt;&gt;"상가",G91=""),"",G91+H91*100)</f>
      </c>
      <c r="U91" s="50">
        <f>IF(T91="","",IF(T91&lt;=$C$7,"○ 전면적용","× 초과 (5%상한 미적용)"))</f>
      </c>
      <c r="V91" s="50">
        <f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</c>
      <c r="W91" s="50">
        <f>IF($A91="","",IF(O91="공실","공실",IF(O91="자가사용","자가사용",IF(L91="","만료일 없음",IF(L91&lt;$C$6,"만료 +"&amp;TEXT($C$6-L91,"0")&amp;"일",IF(L91-$C$6&lt;=30,"임박 "&amp;TEXT(L91-$C$6,"0")&amp;"일","유효"))))))</f>
      </c>
      <c r="X91" s="49">
        <f>IF(OR($A91="",O91&lt;&gt;"임대중"),"",IF(H91="",0,H91)+IF(I91="",0,I91))</f>
      </c>
      <c r="Y91" s="49">
        <f>IF(OR($A91="",O91&lt;&gt;"임대중",H91=""),"",IF(B91="",IF(D91="","",ROUND((H91+IF(I91="",0,I91))/(AF91/3.305785),0)),IF(COUNTIFS($B$13:$B$112,B91,$D$13:$D$112,"")&gt;0,"",ROUND((H91+IF(I91="",0,I91))/(SUMIFS($AF$13:$AF$112,$B$13:$B$112,B91)/3.305785),0))))</f>
      </c>
      <c r="Z91" s="44"/>
      <c r="AA91" s="51"/>
      <c r="AB91" s="44"/>
      <c r="AC91" s="50">
        <f>IF($A91="","",IF(O91="공실","공실",IF(O91="자가사용","자가사용",IF(L91="","만료일 없음",IF(L91&lt;$C$6,"만료 경과",IF(L91&lt;=EDATE($C$6,12),"12개월 내","12개월 초과"))))))</f>
      </c>
      <c r="AD91" s="50">
        <f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</c>
      <c r="AE91" s="52">
        <f>IF(OR($A91="",C91=""),"",ROUND(C91*IF($G$9="평",3.305785,1),2))</f>
      </c>
      <c r="AF91" s="52">
        <f>IF(OR($A91="",D91=""),"",ROUND(D91*IF($G$9="평",3.305785,1),2))</f>
      </c>
    </row>
    <row r="92" ht="18" customHeight="1" spans="1:32" x14ac:dyDescent="0.25">
      <c r="A92" s="41"/>
      <c r="B92" s="41"/>
      <c r="C92" s="42"/>
      <c r="D92" s="42"/>
      <c r="E92" s="43"/>
      <c r="F92" s="44"/>
      <c r="G92" s="45"/>
      <c r="H92" s="45"/>
      <c r="I92" s="45"/>
      <c r="J92" s="46"/>
      <c r="K92" s="46"/>
      <c r="L92" s="46"/>
      <c r="M92" s="44"/>
      <c r="N92" s="44"/>
      <c r="O92" s="44"/>
      <c r="P92" s="43"/>
      <c r="Q92" s="47">
        <f>IF(OR($A92="",C92=""),"",AE92/3.305785)</f>
      </c>
      <c r="R92" s="47">
        <f>IF(OR($A92="",D92=""),"",AF92/3.305785)</f>
      </c>
      <c r="S92" s="48">
        <f>IF(OR($A92="",C92="",D92=""),"",IF(C92&gt;0,D92/C92*100,""))</f>
      </c>
      <c r="T92" s="49">
        <f>IF(OR($A92="",O92&lt;&gt;"임대중",F92&lt;&gt;"상가",G92=""),"",G92+H92*100)</f>
      </c>
      <c r="U92" s="50">
        <f>IF(T92="","",IF(T92&lt;=$C$7,"○ 전면적용","× 초과 (5%상한 미적용)"))</f>
      </c>
      <c r="V92" s="50">
        <f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</c>
      <c r="W92" s="50">
        <f>IF($A92="","",IF(O92="공실","공실",IF(O92="자가사용","자가사용",IF(L92="","만료일 없음",IF(L92&lt;$C$6,"만료 +"&amp;TEXT($C$6-L92,"0")&amp;"일",IF(L92-$C$6&lt;=30,"임박 "&amp;TEXT(L92-$C$6,"0")&amp;"일","유효"))))))</f>
      </c>
      <c r="X92" s="49">
        <f>IF(OR($A92="",O92&lt;&gt;"임대중"),"",IF(H92="",0,H92)+IF(I92="",0,I92))</f>
      </c>
      <c r="Y92" s="49">
        <f>IF(OR($A92="",O92&lt;&gt;"임대중",H92=""),"",IF(B92="",IF(D92="","",ROUND((H92+IF(I92="",0,I92))/(AF92/3.305785),0)),IF(COUNTIFS($B$13:$B$112,B92,$D$13:$D$112,"")&gt;0,"",ROUND((H92+IF(I92="",0,I92))/(SUMIFS($AF$13:$AF$112,$B$13:$B$112,B92)/3.305785),0))))</f>
      </c>
      <c r="Z92" s="44"/>
      <c r="AA92" s="51"/>
      <c r="AB92" s="44"/>
      <c r="AC92" s="50">
        <f>IF($A92="","",IF(O92="공실","공실",IF(O92="자가사용","자가사용",IF(L92="","만료일 없음",IF(L92&lt;$C$6,"만료 경과",IF(L92&lt;=EDATE($C$6,12),"12개월 내","12개월 초과"))))))</f>
      </c>
      <c r="AD92" s="50">
        <f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</c>
      <c r="AE92" s="52">
        <f>IF(OR($A92="",C92=""),"",ROUND(C92*IF($G$9="평",3.305785,1),2))</f>
      </c>
      <c r="AF92" s="52">
        <f>IF(OR($A92="",D92=""),"",ROUND(D92*IF($G$9="평",3.305785,1),2))</f>
      </c>
    </row>
    <row r="93" ht="18" customHeight="1" spans="1:32" x14ac:dyDescent="0.25">
      <c r="A93" s="41"/>
      <c r="B93" s="41"/>
      <c r="C93" s="42"/>
      <c r="D93" s="42"/>
      <c r="E93" s="43"/>
      <c r="F93" s="44"/>
      <c r="G93" s="45"/>
      <c r="H93" s="45"/>
      <c r="I93" s="45"/>
      <c r="J93" s="46"/>
      <c r="K93" s="46"/>
      <c r="L93" s="46"/>
      <c r="M93" s="44"/>
      <c r="N93" s="44"/>
      <c r="O93" s="44"/>
      <c r="P93" s="43"/>
      <c r="Q93" s="47">
        <f>IF(OR($A93="",C93=""),"",AE93/3.305785)</f>
      </c>
      <c r="R93" s="47">
        <f>IF(OR($A93="",D93=""),"",AF93/3.305785)</f>
      </c>
      <c r="S93" s="48">
        <f>IF(OR($A93="",C93="",D93=""),"",IF(C93&gt;0,D93/C93*100,""))</f>
      </c>
      <c r="T93" s="49">
        <f>IF(OR($A93="",O93&lt;&gt;"임대중",F93&lt;&gt;"상가",G93=""),"",G93+H93*100)</f>
      </c>
      <c r="U93" s="50">
        <f>IF(T93="","",IF(T93&lt;=$C$7,"○ 전면적용","× 초과 (5%상한 미적용)"))</f>
      </c>
      <c r="V93" s="50">
        <f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</c>
      <c r="W93" s="50">
        <f>IF($A93="","",IF(O93="공실","공실",IF(O93="자가사용","자가사용",IF(L93="","만료일 없음",IF(L93&lt;$C$6,"만료 +"&amp;TEXT($C$6-L93,"0")&amp;"일",IF(L93-$C$6&lt;=30,"임박 "&amp;TEXT(L93-$C$6,"0")&amp;"일","유효"))))))</f>
      </c>
      <c r="X93" s="49">
        <f>IF(OR($A93="",O93&lt;&gt;"임대중"),"",IF(H93="",0,H93)+IF(I93="",0,I93))</f>
      </c>
      <c r="Y93" s="49">
        <f>IF(OR($A93="",O93&lt;&gt;"임대중",H93=""),"",IF(B93="",IF(D93="","",ROUND((H93+IF(I93="",0,I93))/(AF93/3.305785),0)),IF(COUNTIFS($B$13:$B$112,B93,$D$13:$D$112,"")&gt;0,"",ROUND((H93+IF(I93="",0,I93))/(SUMIFS($AF$13:$AF$112,$B$13:$B$112,B93)/3.305785),0))))</f>
      </c>
      <c r="Z93" s="44"/>
      <c r="AA93" s="51"/>
      <c r="AB93" s="44"/>
      <c r="AC93" s="50">
        <f>IF($A93="","",IF(O93="공실","공실",IF(O93="자가사용","자가사용",IF(L93="","만료일 없음",IF(L93&lt;$C$6,"만료 경과",IF(L93&lt;=EDATE($C$6,12),"12개월 내","12개월 초과"))))))</f>
      </c>
      <c r="AD93" s="50">
        <f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</c>
      <c r="AE93" s="52">
        <f>IF(OR($A93="",C93=""),"",ROUND(C93*IF($G$9="평",3.305785,1),2))</f>
      </c>
      <c r="AF93" s="52">
        <f>IF(OR($A93="",D93=""),"",ROUND(D93*IF($G$9="평",3.305785,1),2))</f>
      </c>
    </row>
    <row r="94" ht="18" customHeight="1" spans="1:32" x14ac:dyDescent="0.25">
      <c r="A94" s="41"/>
      <c r="B94" s="41"/>
      <c r="C94" s="42"/>
      <c r="D94" s="42"/>
      <c r="E94" s="43"/>
      <c r="F94" s="44"/>
      <c r="G94" s="45"/>
      <c r="H94" s="45"/>
      <c r="I94" s="45"/>
      <c r="J94" s="46"/>
      <c r="K94" s="46"/>
      <c r="L94" s="46"/>
      <c r="M94" s="44"/>
      <c r="N94" s="44"/>
      <c r="O94" s="44"/>
      <c r="P94" s="43"/>
      <c r="Q94" s="47">
        <f>IF(OR($A94="",C94=""),"",AE94/3.305785)</f>
      </c>
      <c r="R94" s="47">
        <f>IF(OR($A94="",D94=""),"",AF94/3.305785)</f>
      </c>
      <c r="S94" s="48">
        <f>IF(OR($A94="",C94="",D94=""),"",IF(C94&gt;0,D94/C94*100,""))</f>
      </c>
      <c r="T94" s="49">
        <f>IF(OR($A94="",O94&lt;&gt;"임대중",F94&lt;&gt;"상가",G94=""),"",G94+H94*100)</f>
      </c>
      <c r="U94" s="50">
        <f>IF(T94="","",IF(T94&lt;=$C$7,"○ 전면적용","× 초과 (5%상한 미적용)"))</f>
      </c>
      <c r="V94" s="50">
        <f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</c>
      <c r="W94" s="50">
        <f>IF($A94="","",IF(O94="공실","공실",IF(O94="자가사용","자가사용",IF(L94="","만료일 없음",IF(L94&lt;$C$6,"만료 +"&amp;TEXT($C$6-L94,"0")&amp;"일",IF(L94-$C$6&lt;=30,"임박 "&amp;TEXT(L94-$C$6,"0")&amp;"일","유효"))))))</f>
      </c>
      <c r="X94" s="49">
        <f>IF(OR($A94="",O94&lt;&gt;"임대중"),"",IF(H94="",0,H94)+IF(I94="",0,I94))</f>
      </c>
      <c r="Y94" s="49">
        <f>IF(OR($A94="",O94&lt;&gt;"임대중",H94=""),"",IF(B94="",IF(D94="","",ROUND((H94+IF(I94="",0,I94))/(AF94/3.305785),0)),IF(COUNTIFS($B$13:$B$112,B94,$D$13:$D$112,"")&gt;0,"",ROUND((H94+IF(I94="",0,I94))/(SUMIFS($AF$13:$AF$112,$B$13:$B$112,B94)/3.305785),0))))</f>
      </c>
      <c r="Z94" s="44"/>
      <c r="AA94" s="51"/>
      <c r="AB94" s="44"/>
      <c r="AC94" s="50">
        <f>IF($A94="","",IF(O94="공실","공실",IF(O94="자가사용","자가사용",IF(L94="","만료일 없음",IF(L94&lt;$C$6,"만료 경과",IF(L94&lt;=EDATE($C$6,12),"12개월 내","12개월 초과"))))))</f>
      </c>
      <c r="AD94" s="50">
        <f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</c>
      <c r="AE94" s="52">
        <f>IF(OR($A94="",C94=""),"",ROUND(C94*IF($G$9="평",3.305785,1),2))</f>
      </c>
      <c r="AF94" s="52">
        <f>IF(OR($A94="",D94=""),"",ROUND(D94*IF($G$9="평",3.305785,1),2))</f>
      </c>
    </row>
    <row r="95" ht="18" customHeight="1" spans="1:32" x14ac:dyDescent="0.25">
      <c r="A95" s="41"/>
      <c r="B95" s="41"/>
      <c r="C95" s="42"/>
      <c r="D95" s="42"/>
      <c r="E95" s="43"/>
      <c r="F95" s="44"/>
      <c r="G95" s="45"/>
      <c r="H95" s="45"/>
      <c r="I95" s="45"/>
      <c r="J95" s="46"/>
      <c r="K95" s="46"/>
      <c r="L95" s="46"/>
      <c r="M95" s="44"/>
      <c r="N95" s="44"/>
      <c r="O95" s="44"/>
      <c r="P95" s="43"/>
      <c r="Q95" s="47">
        <f>IF(OR($A95="",C95=""),"",AE95/3.305785)</f>
      </c>
      <c r="R95" s="47">
        <f>IF(OR($A95="",D95=""),"",AF95/3.305785)</f>
      </c>
      <c r="S95" s="48">
        <f>IF(OR($A95="",C95="",D95=""),"",IF(C95&gt;0,D95/C95*100,""))</f>
      </c>
      <c r="T95" s="49">
        <f>IF(OR($A95="",O95&lt;&gt;"임대중",F95&lt;&gt;"상가",G95=""),"",G95+H95*100)</f>
      </c>
      <c r="U95" s="50">
        <f>IF(T95="","",IF(T95&lt;=$C$7,"○ 전면적용","× 초과 (5%상한 미적용)"))</f>
      </c>
      <c r="V95" s="50">
        <f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</c>
      <c r="W95" s="50">
        <f>IF($A95="","",IF(O95="공실","공실",IF(O95="자가사용","자가사용",IF(L95="","만료일 없음",IF(L95&lt;$C$6,"만료 +"&amp;TEXT($C$6-L95,"0")&amp;"일",IF(L95-$C$6&lt;=30,"임박 "&amp;TEXT(L95-$C$6,"0")&amp;"일","유효"))))))</f>
      </c>
      <c r="X95" s="49">
        <f>IF(OR($A95="",O95&lt;&gt;"임대중"),"",IF(H95="",0,H95)+IF(I95="",0,I95))</f>
      </c>
      <c r="Y95" s="49">
        <f>IF(OR($A95="",O95&lt;&gt;"임대중",H95=""),"",IF(B95="",IF(D95="","",ROUND((H95+IF(I95="",0,I95))/(AF95/3.305785),0)),IF(COUNTIFS($B$13:$B$112,B95,$D$13:$D$112,"")&gt;0,"",ROUND((H95+IF(I95="",0,I95))/(SUMIFS($AF$13:$AF$112,$B$13:$B$112,B95)/3.305785),0))))</f>
      </c>
      <c r="Z95" s="44"/>
      <c r="AA95" s="51"/>
      <c r="AB95" s="44"/>
      <c r="AC95" s="50">
        <f>IF($A95="","",IF(O95="공실","공실",IF(O95="자가사용","자가사용",IF(L95="","만료일 없음",IF(L95&lt;$C$6,"만료 경과",IF(L95&lt;=EDATE($C$6,12),"12개월 내","12개월 초과"))))))</f>
      </c>
      <c r="AD95" s="50">
        <f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</c>
      <c r="AE95" s="52">
        <f>IF(OR($A95="",C95=""),"",ROUND(C95*IF($G$9="평",3.305785,1),2))</f>
      </c>
      <c r="AF95" s="52">
        <f>IF(OR($A95="",D95=""),"",ROUND(D95*IF($G$9="평",3.305785,1),2))</f>
      </c>
    </row>
    <row r="96" ht="18" customHeight="1" spans="1:32" x14ac:dyDescent="0.25">
      <c r="A96" s="41"/>
      <c r="B96" s="41"/>
      <c r="C96" s="42"/>
      <c r="D96" s="42"/>
      <c r="E96" s="43"/>
      <c r="F96" s="44"/>
      <c r="G96" s="45"/>
      <c r="H96" s="45"/>
      <c r="I96" s="45"/>
      <c r="J96" s="46"/>
      <c r="K96" s="46"/>
      <c r="L96" s="46"/>
      <c r="M96" s="44"/>
      <c r="N96" s="44"/>
      <c r="O96" s="44"/>
      <c r="P96" s="43"/>
      <c r="Q96" s="47">
        <f>IF(OR($A96="",C96=""),"",AE96/3.305785)</f>
      </c>
      <c r="R96" s="47">
        <f>IF(OR($A96="",D96=""),"",AF96/3.305785)</f>
      </c>
      <c r="S96" s="48">
        <f>IF(OR($A96="",C96="",D96=""),"",IF(C96&gt;0,D96/C96*100,""))</f>
      </c>
      <c r="T96" s="49">
        <f>IF(OR($A96="",O96&lt;&gt;"임대중",F96&lt;&gt;"상가",G96=""),"",G96+H96*100)</f>
      </c>
      <c r="U96" s="50">
        <f>IF(T96="","",IF(T96&lt;=$C$7,"○ 전면적용","× 초과 (5%상한 미적용)"))</f>
      </c>
      <c r="V96" s="50">
        <f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</c>
      <c r="W96" s="50">
        <f>IF($A96="","",IF(O96="공실","공실",IF(O96="자가사용","자가사용",IF(L96="","만료일 없음",IF(L96&lt;$C$6,"만료 +"&amp;TEXT($C$6-L96,"0")&amp;"일",IF(L96-$C$6&lt;=30,"임박 "&amp;TEXT(L96-$C$6,"0")&amp;"일","유효"))))))</f>
      </c>
      <c r="X96" s="49">
        <f>IF(OR($A96="",O96&lt;&gt;"임대중"),"",IF(H96="",0,H96)+IF(I96="",0,I96))</f>
      </c>
      <c r="Y96" s="49">
        <f>IF(OR($A96="",O96&lt;&gt;"임대중",H96=""),"",IF(B96="",IF(D96="","",ROUND((H96+IF(I96="",0,I96))/(AF96/3.305785),0)),IF(COUNTIFS($B$13:$B$112,B96,$D$13:$D$112,"")&gt;0,"",ROUND((H96+IF(I96="",0,I96))/(SUMIFS($AF$13:$AF$112,$B$13:$B$112,B96)/3.305785),0))))</f>
      </c>
      <c r="Z96" s="44"/>
      <c r="AA96" s="51"/>
      <c r="AB96" s="44"/>
      <c r="AC96" s="50">
        <f>IF($A96="","",IF(O96="공실","공실",IF(O96="자가사용","자가사용",IF(L96="","만료일 없음",IF(L96&lt;$C$6,"만료 경과",IF(L96&lt;=EDATE($C$6,12),"12개월 내","12개월 초과"))))))</f>
      </c>
      <c r="AD96" s="50">
        <f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</c>
      <c r="AE96" s="52">
        <f>IF(OR($A96="",C96=""),"",ROUND(C96*IF($G$9="평",3.305785,1),2))</f>
      </c>
      <c r="AF96" s="52">
        <f>IF(OR($A96="",D96=""),"",ROUND(D96*IF($G$9="평",3.305785,1),2))</f>
      </c>
    </row>
    <row r="97" ht="18" customHeight="1" spans="1:32" x14ac:dyDescent="0.25">
      <c r="A97" s="41"/>
      <c r="B97" s="41"/>
      <c r="C97" s="42"/>
      <c r="D97" s="42"/>
      <c r="E97" s="43"/>
      <c r="F97" s="44"/>
      <c r="G97" s="45"/>
      <c r="H97" s="45"/>
      <c r="I97" s="45"/>
      <c r="J97" s="46"/>
      <c r="K97" s="46"/>
      <c r="L97" s="46"/>
      <c r="M97" s="44"/>
      <c r="N97" s="44"/>
      <c r="O97" s="44"/>
      <c r="P97" s="43"/>
      <c r="Q97" s="47">
        <f>IF(OR($A97="",C97=""),"",AE97/3.305785)</f>
      </c>
      <c r="R97" s="47">
        <f>IF(OR($A97="",D97=""),"",AF97/3.305785)</f>
      </c>
      <c r="S97" s="48">
        <f>IF(OR($A97="",C97="",D97=""),"",IF(C97&gt;0,D97/C97*100,""))</f>
      </c>
      <c r="T97" s="49">
        <f>IF(OR($A97="",O97&lt;&gt;"임대중",F97&lt;&gt;"상가",G97=""),"",G97+H97*100)</f>
      </c>
      <c r="U97" s="50">
        <f>IF(T97="","",IF(T97&lt;=$C$7,"○ 전면적용","× 초과 (5%상한 미적용)"))</f>
      </c>
      <c r="V97" s="50">
        <f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</c>
      <c r="W97" s="50">
        <f>IF($A97="","",IF(O97="공실","공실",IF(O97="자가사용","자가사용",IF(L97="","만료일 없음",IF(L97&lt;$C$6,"만료 +"&amp;TEXT($C$6-L97,"0")&amp;"일",IF(L97-$C$6&lt;=30,"임박 "&amp;TEXT(L97-$C$6,"0")&amp;"일","유효"))))))</f>
      </c>
      <c r="X97" s="49">
        <f>IF(OR($A97="",O97&lt;&gt;"임대중"),"",IF(H97="",0,H97)+IF(I97="",0,I97))</f>
      </c>
      <c r="Y97" s="49">
        <f>IF(OR($A97="",O97&lt;&gt;"임대중",H97=""),"",IF(B97="",IF(D97="","",ROUND((H97+IF(I97="",0,I97))/(AF97/3.305785),0)),IF(COUNTIFS($B$13:$B$112,B97,$D$13:$D$112,"")&gt;0,"",ROUND((H97+IF(I97="",0,I97))/(SUMIFS($AF$13:$AF$112,$B$13:$B$112,B97)/3.305785),0))))</f>
      </c>
      <c r="Z97" s="44"/>
      <c r="AA97" s="51"/>
      <c r="AB97" s="44"/>
      <c r="AC97" s="50">
        <f>IF($A97="","",IF(O97="공실","공실",IF(O97="자가사용","자가사용",IF(L97="","만료일 없음",IF(L97&lt;$C$6,"만료 경과",IF(L97&lt;=EDATE($C$6,12),"12개월 내","12개월 초과"))))))</f>
      </c>
      <c r="AD97" s="50">
        <f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</c>
      <c r="AE97" s="52">
        <f>IF(OR($A97="",C97=""),"",ROUND(C97*IF($G$9="평",3.305785,1),2))</f>
      </c>
      <c r="AF97" s="52">
        <f>IF(OR($A97="",D97=""),"",ROUND(D97*IF($G$9="평",3.305785,1),2))</f>
      </c>
    </row>
    <row r="98" ht="18" customHeight="1" spans="1:32" x14ac:dyDescent="0.25">
      <c r="A98" s="41"/>
      <c r="B98" s="41"/>
      <c r="C98" s="42"/>
      <c r="D98" s="42"/>
      <c r="E98" s="43"/>
      <c r="F98" s="44"/>
      <c r="G98" s="45"/>
      <c r="H98" s="45"/>
      <c r="I98" s="45"/>
      <c r="J98" s="46"/>
      <c r="K98" s="46"/>
      <c r="L98" s="46"/>
      <c r="M98" s="44"/>
      <c r="N98" s="44"/>
      <c r="O98" s="44"/>
      <c r="P98" s="43"/>
      <c r="Q98" s="47">
        <f>IF(OR($A98="",C98=""),"",AE98/3.305785)</f>
      </c>
      <c r="R98" s="47">
        <f>IF(OR($A98="",D98=""),"",AF98/3.305785)</f>
      </c>
      <c r="S98" s="48">
        <f>IF(OR($A98="",C98="",D98=""),"",IF(C98&gt;0,D98/C98*100,""))</f>
      </c>
      <c r="T98" s="49">
        <f>IF(OR($A98="",O98&lt;&gt;"임대중",F98&lt;&gt;"상가",G98=""),"",G98+H98*100)</f>
      </c>
      <c r="U98" s="50">
        <f>IF(T98="","",IF(T98&lt;=$C$7,"○ 전면적용","× 초과 (5%상한 미적용)"))</f>
      </c>
      <c r="V98" s="50">
        <f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</c>
      <c r="W98" s="50">
        <f>IF($A98="","",IF(O98="공실","공실",IF(O98="자가사용","자가사용",IF(L98="","만료일 없음",IF(L98&lt;$C$6,"만료 +"&amp;TEXT($C$6-L98,"0")&amp;"일",IF(L98-$C$6&lt;=30,"임박 "&amp;TEXT(L98-$C$6,"0")&amp;"일","유효"))))))</f>
      </c>
      <c r="X98" s="49">
        <f>IF(OR($A98="",O98&lt;&gt;"임대중"),"",IF(H98="",0,H98)+IF(I98="",0,I98))</f>
      </c>
      <c r="Y98" s="49">
        <f>IF(OR($A98="",O98&lt;&gt;"임대중",H98=""),"",IF(B98="",IF(D98="","",ROUND((H98+IF(I98="",0,I98))/(AF98/3.305785),0)),IF(COUNTIFS($B$13:$B$112,B98,$D$13:$D$112,"")&gt;0,"",ROUND((H98+IF(I98="",0,I98))/(SUMIFS($AF$13:$AF$112,$B$13:$B$112,B98)/3.305785),0))))</f>
      </c>
      <c r="Z98" s="44"/>
      <c r="AA98" s="51"/>
      <c r="AB98" s="44"/>
      <c r="AC98" s="50">
        <f>IF($A98="","",IF(O98="공실","공실",IF(O98="자가사용","자가사용",IF(L98="","만료일 없음",IF(L98&lt;$C$6,"만료 경과",IF(L98&lt;=EDATE($C$6,12),"12개월 내","12개월 초과"))))))</f>
      </c>
      <c r="AD98" s="50">
        <f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</c>
      <c r="AE98" s="52">
        <f>IF(OR($A98="",C98=""),"",ROUND(C98*IF($G$9="평",3.305785,1),2))</f>
      </c>
      <c r="AF98" s="52">
        <f>IF(OR($A98="",D98=""),"",ROUND(D98*IF($G$9="평",3.305785,1),2))</f>
      </c>
    </row>
    <row r="99" ht="18" customHeight="1" spans="1:32" x14ac:dyDescent="0.25">
      <c r="A99" s="41"/>
      <c r="B99" s="41"/>
      <c r="C99" s="42"/>
      <c r="D99" s="42"/>
      <c r="E99" s="43"/>
      <c r="F99" s="44"/>
      <c r="G99" s="45"/>
      <c r="H99" s="45"/>
      <c r="I99" s="45"/>
      <c r="J99" s="46"/>
      <c r="K99" s="46"/>
      <c r="L99" s="46"/>
      <c r="M99" s="44"/>
      <c r="N99" s="44"/>
      <c r="O99" s="44"/>
      <c r="P99" s="43"/>
      <c r="Q99" s="47">
        <f>IF(OR($A99="",C99=""),"",AE99/3.305785)</f>
      </c>
      <c r="R99" s="47">
        <f>IF(OR($A99="",D99=""),"",AF99/3.305785)</f>
      </c>
      <c r="S99" s="48">
        <f>IF(OR($A99="",C99="",D99=""),"",IF(C99&gt;0,D99/C99*100,""))</f>
      </c>
      <c r="T99" s="49">
        <f>IF(OR($A99="",O99&lt;&gt;"임대중",F99&lt;&gt;"상가",G99=""),"",G99+H99*100)</f>
      </c>
      <c r="U99" s="50">
        <f>IF(T99="","",IF(T99&lt;=$C$7,"○ 전면적용","× 초과 (5%상한 미적용)"))</f>
      </c>
      <c r="V99" s="50">
        <f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</c>
      <c r="W99" s="50">
        <f>IF($A99="","",IF(O99="공실","공실",IF(O99="자가사용","자가사용",IF(L99="","만료일 없음",IF(L99&lt;$C$6,"만료 +"&amp;TEXT($C$6-L99,"0")&amp;"일",IF(L99-$C$6&lt;=30,"임박 "&amp;TEXT(L99-$C$6,"0")&amp;"일","유효"))))))</f>
      </c>
      <c r="X99" s="49">
        <f>IF(OR($A99="",O99&lt;&gt;"임대중"),"",IF(H99="",0,H99)+IF(I99="",0,I99))</f>
      </c>
      <c r="Y99" s="49">
        <f>IF(OR($A99="",O99&lt;&gt;"임대중",H99=""),"",IF(B99="",IF(D99="","",ROUND((H99+IF(I99="",0,I99))/(AF99/3.305785),0)),IF(COUNTIFS($B$13:$B$112,B99,$D$13:$D$112,"")&gt;0,"",ROUND((H99+IF(I99="",0,I99))/(SUMIFS($AF$13:$AF$112,$B$13:$B$112,B99)/3.305785),0))))</f>
      </c>
      <c r="Z99" s="44"/>
      <c r="AA99" s="51"/>
      <c r="AB99" s="44"/>
      <c r="AC99" s="50">
        <f>IF($A99="","",IF(O99="공실","공실",IF(O99="자가사용","자가사용",IF(L99="","만료일 없음",IF(L99&lt;$C$6,"만료 경과",IF(L99&lt;=EDATE($C$6,12),"12개월 내","12개월 초과"))))))</f>
      </c>
      <c r="AD99" s="50">
        <f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</c>
      <c r="AE99" s="52">
        <f>IF(OR($A99="",C99=""),"",ROUND(C99*IF($G$9="평",3.305785,1),2))</f>
      </c>
      <c r="AF99" s="52">
        <f>IF(OR($A99="",D99=""),"",ROUND(D99*IF($G$9="평",3.305785,1),2))</f>
      </c>
    </row>
    <row r="100" ht="18" customHeight="1" spans="1:32" x14ac:dyDescent="0.25">
      <c r="A100" s="41"/>
      <c r="B100" s="41"/>
      <c r="C100" s="42"/>
      <c r="D100" s="42"/>
      <c r="E100" s="43"/>
      <c r="F100" s="44"/>
      <c r="G100" s="45"/>
      <c r="H100" s="45"/>
      <c r="I100" s="45"/>
      <c r="J100" s="46"/>
      <c r="K100" s="46"/>
      <c r="L100" s="46"/>
      <c r="M100" s="44"/>
      <c r="N100" s="44"/>
      <c r="O100" s="44"/>
      <c r="P100" s="43"/>
      <c r="Q100" s="47">
        <f>IF(OR($A100="",C100=""),"",AE100/3.305785)</f>
      </c>
      <c r="R100" s="47">
        <f>IF(OR($A100="",D100=""),"",AF100/3.305785)</f>
      </c>
      <c r="S100" s="48">
        <f>IF(OR($A100="",C100="",D100=""),"",IF(C100&gt;0,D100/C100*100,""))</f>
      </c>
      <c r="T100" s="49">
        <f>IF(OR($A100="",O100&lt;&gt;"임대중",F100&lt;&gt;"상가",G100=""),"",G100+H100*100)</f>
      </c>
      <c r="U100" s="50">
        <f>IF(T100="","",IF(T100&lt;=$C$7,"○ 전면적용","× 초과 (5%상한 미적용)"))</f>
      </c>
      <c r="V100" s="50">
        <f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</c>
      <c r="W100" s="50">
        <f>IF($A100="","",IF(O100="공실","공실",IF(O100="자가사용","자가사용",IF(L100="","만료일 없음",IF(L100&lt;$C$6,"만료 +"&amp;TEXT($C$6-L100,"0")&amp;"일",IF(L100-$C$6&lt;=30,"임박 "&amp;TEXT(L100-$C$6,"0")&amp;"일","유효"))))))</f>
      </c>
      <c r="X100" s="49">
        <f>IF(OR($A100="",O100&lt;&gt;"임대중"),"",IF(H100="",0,H100)+IF(I100="",0,I100))</f>
      </c>
      <c r="Y100" s="49">
        <f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</c>
      <c r="Z100" s="44"/>
      <c r="AA100" s="51"/>
      <c r="AB100" s="44"/>
      <c r="AC100" s="50">
        <f>IF($A100="","",IF(O100="공실","공실",IF(O100="자가사용","자가사용",IF(L100="","만료일 없음",IF(L100&lt;$C$6,"만료 경과",IF(L100&lt;=EDATE($C$6,12),"12개월 내","12개월 초과"))))))</f>
      </c>
      <c r="AD100" s="50">
        <f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</c>
      <c r="AE100" s="52">
        <f>IF(OR($A100="",C100=""),"",ROUND(C100*IF($G$9="평",3.305785,1),2))</f>
      </c>
      <c r="AF100" s="52">
        <f>IF(OR($A100="",D100=""),"",ROUND(D100*IF($G$9="평",3.305785,1),2))</f>
      </c>
    </row>
    <row r="101" ht="18" customHeight="1" spans="1:32" x14ac:dyDescent="0.25">
      <c r="A101" s="41"/>
      <c r="B101" s="41"/>
      <c r="C101" s="42"/>
      <c r="D101" s="42"/>
      <c r="E101" s="43"/>
      <c r="F101" s="44"/>
      <c r="G101" s="45"/>
      <c r="H101" s="45"/>
      <c r="I101" s="45"/>
      <c r="J101" s="46"/>
      <c r="K101" s="46"/>
      <c r="L101" s="46"/>
      <c r="M101" s="44"/>
      <c r="N101" s="44"/>
      <c r="O101" s="44"/>
      <c r="P101" s="43"/>
      <c r="Q101" s="47">
        <f>IF(OR($A101="",C101=""),"",AE101/3.305785)</f>
      </c>
      <c r="R101" s="47">
        <f>IF(OR($A101="",D101=""),"",AF101/3.305785)</f>
      </c>
      <c r="S101" s="48">
        <f>IF(OR($A101="",C101="",D101=""),"",IF(C101&gt;0,D101/C101*100,""))</f>
      </c>
      <c r="T101" s="49">
        <f>IF(OR($A101="",O101&lt;&gt;"임대중",F101&lt;&gt;"상가",G101=""),"",G101+H101*100)</f>
      </c>
      <c r="U101" s="50">
        <f>IF(T101="","",IF(T101&lt;=$C$7,"○ 전면적용","× 초과 (5%상한 미적용)"))</f>
      </c>
      <c r="V101" s="50">
        <f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</c>
      <c r="W101" s="50">
        <f>IF($A101="","",IF(O101="공실","공실",IF(O101="자가사용","자가사용",IF(L101="","만료일 없음",IF(L101&lt;$C$6,"만료 +"&amp;TEXT($C$6-L101,"0")&amp;"일",IF(L101-$C$6&lt;=30,"임박 "&amp;TEXT(L101-$C$6,"0")&amp;"일","유효"))))))</f>
      </c>
      <c r="X101" s="49">
        <f>IF(OR($A101="",O101&lt;&gt;"임대중"),"",IF(H101="",0,H101)+IF(I101="",0,I101))</f>
      </c>
      <c r="Y101" s="49">
        <f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</c>
      <c r="Z101" s="44"/>
      <c r="AA101" s="51"/>
      <c r="AB101" s="44"/>
      <c r="AC101" s="50">
        <f>IF($A101="","",IF(O101="공실","공실",IF(O101="자가사용","자가사용",IF(L101="","만료일 없음",IF(L101&lt;$C$6,"만료 경과",IF(L101&lt;=EDATE($C$6,12),"12개월 내","12개월 초과"))))))</f>
      </c>
      <c r="AD101" s="50">
        <f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</c>
      <c r="AE101" s="52">
        <f>IF(OR($A101="",C101=""),"",ROUND(C101*IF($G$9="평",3.305785,1),2))</f>
      </c>
      <c r="AF101" s="52">
        <f>IF(OR($A101="",D101=""),"",ROUND(D101*IF($G$9="평",3.305785,1),2))</f>
      </c>
    </row>
    <row r="102" ht="18" customHeight="1" spans="1:32" x14ac:dyDescent="0.25">
      <c r="A102" s="41"/>
      <c r="B102" s="41"/>
      <c r="C102" s="42"/>
      <c r="D102" s="42"/>
      <c r="E102" s="43"/>
      <c r="F102" s="44"/>
      <c r="G102" s="45"/>
      <c r="H102" s="45"/>
      <c r="I102" s="45"/>
      <c r="J102" s="46"/>
      <c r="K102" s="46"/>
      <c r="L102" s="46"/>
      <c r="M102" s="44"/>
      <c r="N102" s="44"/>
      <c r="O102" s="44"/>
      <c r="P102" s="43"/>
      <c r="Q102" s="47">
        <f>IF(OR($A102="",C102=""),"",AE102/3.305785)</f>
      </c>
      <c r="R102" s="47">
        <f>IF(OR($A102="",D102=""),"",AF102/3.305785)</f>
      </c>
      <c r="S102" s="48">
        <f>IF(OR($A102="",C102="",D102=""),"",IF(C102&gt;0,D102/C102*100,""))</f>
      </c>
      <c r="T102" s="49">
        <f>IF(OR($A102="",O102&lt;&gt;"임대중",F102&lt;&gt;"상가",G102=""),"",G102+H102*100)</f>
      </c>
      <c r="U102" s="50">
        <f>IF(T102="","",IF(T102&lt;=$C$7,"○ 전면적용","× 초과 (5%상한 미적용)"))</f>
      </c>
      <c r="V102" s="50">
        <f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</c>
      <c r="W102" s="50">
        <f>IF($A102="","",IF(O102="공실","공실",IF(O102="자가사용","자가사용",IF(L102="","만료일 없음",IF(L102&lt;$C$6,"만료 +"&amp;TEXT($C$6-L102,"0")&amp;"일",IF(L102-$C$6&lt;=30,"임박 "&amp;TEXT(L102-$C$6,"0")&amp;"일","유효"))))))</f>
      </c>
      <c r="X102" s="49">
        <f>IF(OR($A102="",O102&lt;&gt;"임대중"),"",IF(H102="",0,H102)+IF(I102="",0,I102))</f>
      </c>
      <c r="Y102" s="49">
        <f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</c>
      <c r="Z102" s="44"/>
      <c r="AA102" s="51"/>
      <c r="AB102" s="44"/>
      <c r="AC102" s="50">
        <f>IF($A102="","",IF(O102="공실","공실",IF(O102="자가사용","자가사용",IF(L102="","만료일 없음",IF(L102&lt;$C$6,"만료 경과",IF(L102&lt;=EDATE($C$6,12),"12개월 내","12개월 초과"))))))</f>
      </c>
      <c r="AD102" s="50">
        <f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</c>
      <c r="AE102" s="52">
        <f>IF(OR($A102="",C102=""),"",ROUND(C102*IF($G$9="평",3.305785,1),2))</f>
      </c>
      <c r="AF102" s="52">
        <f>IF(OR($A102="",D102=""),"",ROUND(D102*IF($G$9="평",3.305785,1),2))</f>
      </c>
    </row>
    <row r="103" ht="18" customHeight="1" spans="1:32" x14ac:dyDescent="0.25">
      <c r="A103" s="41"/>
      <c r="B103" s="41"/>
      <c r="C103" s="42"/>
      <c r="D103" s="42"/>
      <c r="E103" s="43"/>
      <c r="F103" s="44"/>
      <c r="G103" s="45"/>
      <c r="H103" s="45"/>
      <c r="I103" s="45"/>
      <c r="J103" s="46"/>
      <c r="K103" s="46"/>
      <c r="L103" s="46"/>
      <c r="M103" s="44"/>
      <c r="N103" s="44"/>
      <c r="O103" s="44"/>
      <c r="P103" s="43"/>
      <c r="Q103" s="47">
        <f>IF(OR($A103="",C103=""),"",AE103/3.305785)</f>
      </c>
      <c r="R103" s="47">
        <f>IF(OR($A103="",D103=""),"",AF103/3.305785)</f>
      </c>
      <c r="S103" s="48">
        <f>IF(OR($A103="",C103="",D103=""),"",IF(C103&gt;0,D103/C103*100,""))</f>
      </c>
      <c r="T103" s="49">
        <f>IF(OR($A103="",O103&lt;&gt;"임대중",F103&lt;&gt;"상가",G103=""),"",G103+H103*100)</f>
      </c>
      <c r="U103" s="50">
        <f>IF(T103="","",IF(T103&lt;=$C$7,"○ 전면적용","× 초과 (5%상한 미적용)"))</f>
      </c>
      <c r="V103" s="50">
        <f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</c>
      <c r="W103" s="50">
        <f>IF($A103="","",IF(O103="공실","공실",IF(O103="자가사용","자가사용",IF(L103="","만료일 없음",IF(L103&lt;$C$6,"만료 +"&amp;TEXT($C$6-L103,"0")&amp;"일",IF(L103-$C$6&lt;=30,"임박 "&amp;TEXT(L103-$C$6,"0")&amp;"일","유효"))))))</f>
      </c>
      <c r="X103" s="49">
        <f>IF(OR($A103="",O103&lt;&gt;"임대중"),"",IF(H103="",0,H103)+IF(I103="",0,I103))</f>
      </c>
      <c r="Y103" s="49">
        <f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</c>
      <c r="Z103" s="44"/>
      <c r="AA103" s="51"/>
      <c r="AB103" s="44"/>
      <c r="AC103" s="50">
        <f>IF($A103="","",IF(O103="공실","공실",IF(O103="자가사용","자가사용",IF(L103="","만료일 없음",IF(L103&lt;$C$6,"만료 경과",IF(L103&lt;=EDATE($C$6,12),"12개월 내","12개월 초과"))))))</f>
      </c>
      <c r="AD103" s="50">
        <f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</c>
      <c r="AE103" s="52">
        <f>IF(OR($A103="",C103=""),"",ROUND(C103*IF($G$9="평",3.305785,1),2))</f>
      </c>
      <c r="AF103" s="52">
        <f>IF(OR($A103="",D103=""),"",ROUND(D103*IF($G$9="평",3.305785,1),2))</f>
      </c>
    </row>
    <row r="104" ht="18" customHeight="1" spans="1:32" x14ac:dyDescent="0.25">
      <c r="A104" s="41"/>
      <c r="B104" s="41"/>
      <c r="C104" s="42"/>
      <c r="D104" s="42"/>
      <c r="E104" s="43"/>
      <c r="F104" s="44"/>
      <c r="G104" s="45"/>
      <c r="H104" s="45"/>
      <c r="I104" s="45"/>
      <c r="J104" s="46"/>
      <c r="K104" s="46"/>
      <c r="L104" s="46"/>
      <c r="M104" s="44"/>
      <c r="N104" s="44"/>
      <c r="O104" s="44"/>
      <c r="P104" s="43"/>
      <c r="Q104" s="47">
        <f>IF(OR($A104="",C104=""),"",AE104/3.305785)</f>
      </c>
      <c r="R104" s="47">
        <f>IF(OR($A104="",D104=""),"",AF104/3.305785)</f>
      </c>
      <c r="S104" s="48">
        <f>IF(OR($A104="",C104="",D104=""),"",IF(C104&gt;0,D104/C104*100,""))</f>
      </c>
      <c r="T104" s="49">
        <f>IF(OR($A104="",O104&lt;&gt;"임대중",F104&lt;&gt;"상가",G104=""),"",G104+H104*100)</f>
      </c>
      <c r="U104" s="50">
        <f>IF(T104="","",IF(T104&lt;=$C$7,"○ 전면적용","× 초과 (5%상한 미적용)"))</f>
      </c>
      <c r="V104" s="50">
        <f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</c>
      <c r="W104" s="50">
        <f>IF($A104="","",IF(O104="공실","공실",IF(O104="자가사용","자가사용",IF(L104="","만료일 없음",IF(L104&lt;$C$6,"만료 +"&amp;TEXT($C$6-L104,"0")&amp;"일",IF(L104-$C$6&lt;=30,"임박 "&amp;TEXT(L104-$C$6,"0")&amp;"일","유효"))))))</f>
      </c>
      <c r="X104" s="49">
        <f>IF(OR($A104="",O104&lt;&gt;"임대중"),"",IF(H104="",0,H104)+IF(I104="",0,I104))</f>
      </c>
      <c r="Y104" s="49">
        <f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</c>
      <c r="Z104" s="44"/>
      <c r="AA104" s="51"/>
      <c r="AB104" s="44"/>
      <c r="AC104" s="50">
        <f>IF($A104="","",IF(O104="공실","공실",IF(O104="자가사용","자가사용",IF(L104="","만료일 없음",IF(L104&lt;$C$6,"만료 경과",IF(L104&lt;=EDATE($C$6,12),"12개월 내","12개월 초과"))))))</f>
      </c>
      <c r="AD104" s="50">
        <f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</c>
      <c r="AE104" s="52">
        <f>IF(OR($A104="",C104=""),"",ROUND(C104*IF($G$9="평",3.305785,1),2))</f>
      </c>
      <c r="AF104" s="52">
        <f>IF(OR($A104="",D104=""),"",ROUND(D104*IF($G$9="평",3.305785,1),2))</f>
      </c>
    </row>
    <row r="105" ht="18" customHeight="1" spans="1:32" x14ac:dyDescent="0.25">
      <c r="A105" s="41"/>
      <c r="B105" s="41"/>
      <c r="C105" s="42"/>
      <c r="D105" s="42"/>
      <c r="E105" s="43"/>
      <c r="F105" s="44"/>
      <c r="G105" s="45"/>
      <c r="H105" s="45"/>
      <c r="I105" s="45"/>
      <c r="J105" s="46"/>
      <c r="K105" s="46"/>
      <c r="L105" s="46"/>
      <c r="M105" s="44"/>
      <c r="N105" s="44"/>
      <c r="O105" s="44"/>
      <c r="P105" s="43"/>
      <c r="Q105" s="47">
        <f>IF(OR($A105="",C105=""),"",AE105/3.305785)</f>
      </c>
      <c r="R105" s="47">
        <f>IF(OR($A105="",D105=""),"",AF105/3.305785)</f>
      </c>
      <c r="S105" s="48">
        <f>IF(OR($A105="",C105="",D105=""),"",IF(C105&gt;0,D105/C105*100,""))</f>
      </c>
      <c r="T105" s="49">
        <f>IF(OR($A105="",O105&lt;&gt;"임대중",F105&lt;&gt;"상가",G105=""),"",G105+H105*100)</f>
      </c>
      <c r="U105" s="50">
        <f>IF(T105="","",IF(T105&lt;=$C$7,"○ 전면적용","× 초과 (5%상한 미적용)"))</f>
      </c>
      <c r="V105" s="50">
        <f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</c>
      <c r="W105" s="50">
        <f>IF($A105="","",IF(O105="공실","공실",IF(O105="자가사용","자가사용",IF(L105="","만료일 없음",IF(L105&lt;$C$6,"만료 +"&amp;TEXT($C$6-L105,"0")&amp;"일",IF(L105-$C$6&lt;=30,"임박 "&amp;TEXT(L105-$C$6,"0")&amp;"일","유효"))))))</f>
      </c>
      <c r="X105" s="49">
        <f>IF(OR($A105="",O105&lt;&gt;"임대중"),"",IF(H105="",0,H105)+IF(I105="",0,I105))</f>
      </c>
      <c r="Y105" s="49">
        <f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</c>
      <c r="Z105" s="44"/>
      <c r="AA105" s="51"/>
      <c r="AB105" s="44"/>
      <c r="AC105" s="50">
        <f>IF($A105="","",IF(O105="공실","공실",IF(O105="자가사용","자가사용",IF(L105="","만료일 없음",IF(L105&lt;$C$6,"만료 경과",IF(L105&lt;=EDATE($C$6,12),"12개월 내","12개월 초과"))))))</f>
      </c>
      <c r="AD105" s="50">
        <f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</c>
      <c r="AE105" s="52">
        <f>IF(OR($A105="",C105=""),"",ROUND(C105*IF($G$9="평",3.305785,1),2))</f>
      </c>
      <c r="AF105" s="52">
        <f>IF(OR($A105="",D105=""),"",ROUND(D105*IF($G$9="평",3.305785,1),2))</f>
      </c>
    </row>
    <row r="106" ht="18" customHeight="1" spans="1:32" x14ac:dyDescent="0.25">
      <c r="A106" s="41"/>
      <c r="B106" s="41"/>
      <c r="C106" s="42"/>
      <c r="D106" s="42"/>
      <c r="E106" s="43"/>
      <c r="F106" s="44"/>
      <c r="G106" s="45"/>
      <c r="H106" s="45"/>
      <c r="I106" s="45"/>
      <c r="J106" s="46"/>
      <c r="K106" s="46"/>
      <c r="L106" s="46"/>
      <c r="M106" s="44"/>
      <c r="N106" s="44"/>
      <c r="O106" s="44"/>
      <c r="P106" s="43"/>
      <c r="Q106" s="47">
        <f>IF(OR($A106="",C106=""),"",AE106/3.305785)</f>
      </c>
      <c r="R106" s="47">
        <f>IF(OR($A106="",D106=""),"",AF106/3.305785)</f>
      </c>
      <c r="S106" s="48">
        <f>IF(OR($A106="",C106="",D106=""),"",IF(C106&gt;0,D106/C106*100,""))</f>
      </c>
      <c r="T106" s="49">
        <f>IF(OR($A106="",O106&lt;&gt;"임대중",F106&lt;&gt;"상가",G106=""),"",G106+H106*100)</f>
      </c>
      <c r="U106" s="50">
        <f>IF(T106="","",IF(T106&lt;=$C$7,"○ 전면적용","× 초과 (5%상한 미적용)"))</f>
      </c>
      <c r="V106" s="50">
        <f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</c>
      <c r="W106" s="50">
        <f>IF($A106="","",IF(O106="공실","공실",IF(O106="자가사용","자가사용",IF(L106="","만료일 없음",IF(L106&lt;$C$6,"만료 +"&amp;TEXT($C$6-L106,"0")&amp;"일",IF(L106-$C$6&lt;=30,"임박 "&amp;TEXT(L106-$C$6,"0")&amp;"일","유효"))))))</f>
      </c>
      <c r="X106" s="49">
        <f>IF(OR($A106="",O106&lt;&gt;"임대중"),"",IF(H106="",0,H106)+IF(I106="",0,I106))</f>
      </c>
      <c r="Y106" s="49">
        <f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</c>
      <c r="Z106" s="44"/>
      <c r="AA106" s="51"/>
      <c r="AB106" s="44"/>
      <c r="AC106" s="50">
        <f>IF($A106="","",IF(O106="공실","공실",IF(O106="자가사용","자가사용",IF(L106="","만료일 없음",IF(L106&lt;$C$6,"만료 경과",IF(L106&lt;=EDATE($C$6,12),"12개월 내","12개월 초과"))))))</f>
      </c>
      <c r="AD106" s="50">
        <f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</c>
      <c r="AE106" s="52">
        <f>IF(OR($A106="",C106=""),"",ROUND(C106*IF($G$9="평",3.305785,1),2))</f>
      </c>
      <c r="AF106" s="52">
        <f>IF(OR($A106="",D106=""),"",ROUND(D106*IF($G$9="평",3.305785,1),2))</f>
      </c>
    </row>
    <row r="107" ht="18" customHeight="1" spans="1:32" x14ac:dyDescent="0.25">
      <c r="A107" s="41"/>
      <c r="B107" s="41"/>
      <c r="C107" s="42"/>
      <c r="D107" s="42"/>
      <c r="E107" s="43"/>
      <c r="F107" s="44"/>
      <c r="G107" s="45"/>
      <c r="H107" s="45"/>
      <c r="I107" s="45"/>
      <c r="J107" s="46"/>
      <c r="K107" s="46"/>
      <c r="L107" s="46"/>
      <c r="M107" s="44"/>
      <c r="N107" s="44"/>
      <c r="O107" s="44"/>
      <c r="P107" s="43"/>
      <c r="Q107" s="47">
        <f>IF(OR($A107="",C107=""),"",AE107/3.305785)</f>
      </c>
      <c r="R107" s="47">
        <f>IF(OR($A107="",D107=""),"",AF107/3.305785)</f>
      </c>
      <c r="S107" s="48">
        <f>IF(OR($A107="",C107="",D107=""),"",IF(C107&gt;0,D107/C107*100,""))</f>
      </c>
      <c r="T107" s="49">
        <f>IF(OR($A107="",O107&lt;&gt;"임대중",F107&lt;&gt;"상가",G107=""),"",G107+H107*100)</f>
      </c>
      <c r="U107" s="50">
        <f>IF(T107="","",IF(T107&lt;=$C$7,"○ 전면적용","× 초과 (5%상한 미적용)"))</f>
      </c>
      <c r="V107" s="50">
        <f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</c>
      <c r="W107" s="50">
        <f>IF($A107="","",IF(O107="공실","공실",IF(O107="자가사용","자가사용",IF(L107="","만료일 없음",IF(L107&lt;$C$6,"만료 +"&amp;TEXT($C$6-L107,"0")&amp;"일",IF(L107-$C$6&lt;=30,"임박 "&amp;TEXT(L107-$C$6,"0")&amp;"일","유효"))))))</f>
      </c>
      <c r="X107" s="49">
        <f>IF(OR($A107="",O107&lt;&gt;"임대중"),"",IF(H107="",0,H107)+IF(I107="",0,I107))</f>
      </c>
      <c r="Y107" s="49">
        <f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</c>
      <c r="Z107" s="44"/>
      <c r="AA107" s="51"/>
      <c r="AB107" s="44"/>
      <c r="AC107" s="50">
        <f>IF($A107="","",IF(O107="공실","공실",IF(O107="자가사용","자가사용",IF(L107="","만료일 없음",IF(L107&lt;$C$6,"만료 경과",IF(L107&lt;=EDATE($C$6,12),"12개월 내","12개월 초과"))))))</f>
      </c>
      <c r="AD107" s="50">
        <f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</c>
      <c r="AE107" s="52">
        <f>IF(OR($A107="",C107=""),"",ROUND(C107*IF($G$9="평",3.305785,1),2))</f>
      </c>
      <c r="AF107" s="52">
        <f>IF(OR($A107="",D107=""),"",ROUND(D107*IF($G$9="평",3.305785,1),2))</f>
      </c>
    </row>
    <row r="108" ht="18" customHeight="1" spans="1:32" x14ac:dyDescent="0.25">
      <c r="A108" s="41"/>
      <c r="B108" s="41"/>
      <c r="C108" s="42"/>
      <c r="D108" s="42"/>
      <c r="E108" s="43"/>
      <c r="F108" s="44"/>
      <c r="G108" s="45"/>
      <c r="H108" s="45"/>
      <c r="I108" s="45"/>
      <c r="J108" s="46"/>
      <c r="K108" s="46"/>
      <c r="L108" s="46"/>
      <c r="M108" s="44"/>
      <c r="N108" s="44"/>
      <c r="O108" s="44"/>
      <c r="P108" s="43"/>
      <c r="Q108" s="47">
        <f>IF(OR($A108="",C108=""),"",AE108/3.305785)</f>
      </c>
      <c r="R108" s="47">
        <f>IF(OR($A108="",D108=""),"",AF108/3.305785)</f>
      </c>
      <c r="S108" s="48">
        <f>IF(OR($A108="",C108="",D108=""),"",IF(C108&gt;0,D108/C108*100,""))</f>
      </c>
      <c r="T108" s="49">
        <f>IF(OR($A108="",O108&lt;&gt;"임대중",F108&lt;&gt;"상가",G108=""),"",G108+H108*100)</f>
      </c>
      <c r="U108" s="50">
        <f>IF(T108="","",IF(T108&lt;=$C$7,"○ 전면적용","× 초과 (5%상한 미적용)"))</f>
      </c>
      <c r="V108" s="50">
        <f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</c>
      <c r="W108" s="50">
        <f>IF($A108="","",IF(O108="공실","공실",IF(O108="자가사용","자가사용",IF(L108="","만료일 없음",IF(L108&lt;$C$6,"만료 +"&amp;TEXT($C$6-L108,"0")&amp;"일",IF(L108-$C$6&lt;=30,"임박 "&amp;TEXT(L108-$C$6,"0")&amp;"일","유효"))))))</f>
      </c>
      <c r="X108" s="49">
        <f>IF(OR($A108="",O108&lt;&gt;"임대중"),"",IF(H108="",0,H108)+IF(I108="",0,I108))</f>
      </c>
      <c r="Y108" s="49">
        <f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</c>
      <c r="Z108" s="44"/>
      <c r="AA108" s="51"/>
      <c r="AB108" s="44"/>
      <c r="AC108" s="50">
        <f>IF($A108="","",IF(O108="공실","공실",IF(O108="자가사용","자가사용",IF(L108="","만료일 없음",IF(L108&lt;$C$6,"만료 경과",IF(L108&lt;=EDATE($C$6,12),"12개월 내","12개월 초과"))))))</f>
      </c>
      <c r="AD108" s="50">
        <f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</c>
      <c r="AE108" s="52">
        <f>IF(OR($A108="",C108=""),"",ROUND(C108*IF($G$9="평",3.305785,1),2))</f>
      </c>
      <c r="AF108" s="52">
        <f>IF(OR($A108="",D108=""),"",ROUND(D108*IF($G$9="평",3.305785,1),2))</f>
      </c>
    </row>
    <row r="109" ht="18" customHeight="1" spans="1:32" x14ac:dyDescent="0.25">
      <c r="A109" s="41"/>
      <c r="B109" s="41"/>
      <c r="C109" s="42"/>
      <c r="D109" s="42"/>
      <c r="E109" s="43"/>
      <c r="F109" s="44"/>
      <c r="G109" s="45"/>
      <c r="H109" s="45"/>
      <c r="I109" s="45"/>
      <c r="J109" s="46"/>
      <c r="K109" s="46"/>
      <c r="L109" s="46"/>
      <c r="M109" s="44"/>
      <c r="N109" s="44"/>
      <c r="O109" s="44"/>
      <c r="P109" s="43"/>
      <c r="Q109" s="47">
        <f>IF(OR($A109="",C109=""),"",AE109/3.305785)</f>
      </c>
      <c r="R109" s="47">
        <f>IF(OR($A109="",D109=""),"",AF109/3.305785)</f>
      </c>
      <c r="S109" s="48">
        <f>IF(OR($A109="",C109="",D109=""),"",IF(C109&gt;0,D109/C109*100,""))</f>
      </c>
      <c r="T109" s="49">
        <f>IF(OR($A109="",O109&lt;&gt;"임대중",F109&lt;&gt;"상가",G109=""),"",G109+H109*100)</f>
      </c>
      <c r="U109" s="50">
        <f>IF(T109="","",IF(T109&lt;=$C$7,"○ 전면적용","× 초과 (5%상한 미적용)"))</f>
      </c>
      <c r="V109" s="50">
        <f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</c>
      <c r="W109" s="50">
        <f>IF($A109="","",IF(O109="공실","공실",IF(O109="자가사용","자가사용",IF(L109="","만료일 없음",IF(L109&lt;$C$6,"만료 +"&amp;TEXT($C$6-L109,"0")&amp;"일",IF(L109-$C$6&lt;=30,"임박 "&amp;TEXT(L109-$C$6,"0")&amp;"일","유효"))))))</f>
      </c>
      <c r="X109" s="49">
        <f>IF(OR($A109="",O109&lt;&gt;"임대중"),"",IF(H109="",0,H109)+IF(I109="",0,I109))</f>
      </c>
      <c r="Y109" s="49">
        <f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</c>
      <c r="Z109" s="44"/>
      <c r="AA109" s="51"/>
      <c r="AB109" s="44"/>
      <c r="AC109" s="50">
        <f>IF($A109="","",IF(O109="공실","공실",IF(O109="자가사용","자가사용",IF(L109="","만료일 없음",IF(L109&lt;$C$6,"만료 경과",IF(L109&lt;=EDATE($C$6,12),"12개월 내","12개월 초과"))))))</f>
      </c>
      <c r="AD109" s="50">
        <f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</c>
      <c r="AE109" s="52">
        <f>IF(OR($A109="",C109=""),"",ROUND(C109*IF($G$9="평",3.305785,1),2))</f>
      </c>
      <c r="AF109" s="52">
        <f>IF(OR($A109="",D109=""),"",ROUND(D109*IF($G$9="평",3.305785,1),2))</f>
      </c>
    </row>
    <row r="110" ht="18" customHeight="1" spans="1:32" x14ac:dyDescent="0.25">
      <c r="A110" s="41"/>
      <c r="B110" s="41"/>
      <c r="C110" s="42"/>
      <c r="D110" s="42"/>
      <c r="E110" s="43"/>
      <c r="F110" s="44"/>
      <c r="G110" s="45"/>
      <c r="H110" s="45"/>
      <c r="I110" s="45"/>
      <c r="J110" s="46"/>
      <c r="K110" s="46"/>
      <c r="L110" s="46"/>
      <c r="M110" s="44"/>
      <c r="N110" s="44"/>
      <c r="O110" s="44"/>
      <c r="P110" s="43"/>
      <c r="Q110" s="47">
        <f>IF(OR($A110="",C110=""),"",AE110/3.305785)</f>
      </c>
      <c r="R110" s="47">
        <f>IF(OR($A110="",D110=""),"",AF110/3.305785)</f>
      </c>
      <c r="S110" s="48">
        <f>IF(OR($A110="",C110="",D110=""),"",IF(C110&gt;0,D110/C110*100,""))</f>
      </c>
      <c r="T110" s="49">
        <f>IF(OR($A110="",O110&lt;&gt;"임대중",F110&lt;&gt;"상가",G110=""),"",G110+H110*100)</f>
      </c>
      <c r="U110" s="50">
        <f>IF(T110="","",IF(T110&lt;=$C$7,"○ 전면적용","× 초과 (5%상한 미적용)"))</f>
      </c>
      <c r="V110" s="50">
        <f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</c>
      <c r="W110" s="50">
        <f>IF($A110="","",IF(O110="공실","공실",IF(O110="자가사용","자가사용",IF(L110="","만료일 없음",IF(L110&lt;$C$6,"만료 +"&amp;TEXT($C$6-L110,"0")&amp;"일",IF(L110-$C$6&lt;=30,"임박 "&amp;TEXT(L110-$C$6,"0")&amp;"일","유효"))))))</f>
      </c>
      <c r="X110" s="49">
        <f>IF(OR($A110="",O110&lt;&gt;"임대중"),"",IF(H110="",0,H110)+IF(I110="",0,I110))</f>
      </c>
      <c r="Y110" s="49">
        <f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</c>
      <c r="Z110" s="44"/>
      <c r="AA110" s="51"/>
      <c r="AB110" s="44"/>
      <c r="AC110" s="50">
        <f>IF($A110="","",IF(O110="공실","공실",IF(O110="자가사용","자가사용",IF(L110="","만료일 없음",IF(L110&lt;$C$6,"만료 경과",IF(L110&lt;=EDATE($C$6,12),"12개월 내","12개월 초과"))))))</f>
      </c>
      <c r="AD110" s="50">
        <f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</c>
      <c r="AE110" s="52">
        <f>IF(OR($A110="",C110=""),"",ROUND(C110*IF($G$9="평",3.305785,1),2))</f>
      </c>
      <c r="AF110" s="52">
        <f>IF(OR($A110="",D110=""),"",ROUND(D110*IF($G$9="평",3.305785,1),2))</f>
      </c>
    </row>
    <row r="111" ht="18" customHeight="1" spans="1:32" x14ac:dyDescent="0.25">
      <c r="A111" s="41"/>
      <c r="B111" s="41"/>
      <c r="C111" s="42"/>
      <c r="D111" s="42"/>
      <c r="E111" s="43"/>
      <c r="F111" s="44"/>
      <c r="G111" s="45"/>
      <c r="H111" s="45"/>
      <c r="I111" s="45"/>
      <c r="J111" s="46"/>
      <c r="K111" s="46"/>
      <c r="L111" s="46"/>
      <c r="M111" s="44"/>
      <c r="N111" s="44"/>
      <c r="O111" s="44"/>
      <c r="P111" s="43"/>
      <c r="Q111" s="47">
        <f>IF(OR($A111="",C111=""),"",AE111/3.305785)</f>
      </c>
      <c r="R111" s="47">
        <f>IF(OR($A111="",D111=""),"",AF111/3.305785)</f>
      </c>
      <c r="S111" s="48">
        <f>IF(OR($A111="",C111="",D111=""),"",IF(C111&gt;0,D111/C111*100,""))</f>
      </c>
      <c r="T111" s="49">
        <f>IF(OR($A111="",O111&lt;&gt;"임대중",F111&lt;&gt;"상가",G111=""),"",G111+H111*100)</f>
      </c>
      <c r="U111" s="50">
        <f>IF(T111="","",IF(T111&lt;=$C$7,"○ 전면적용","× 초과 (5%상한 미적용)"))</f>
      </c>
      <c r="V111" s="50">
        <f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</c>
      <c r="W111" s="50">
        <f>IF($A111="","",IF(O111="공실","공실",IF(O111="자가사용","자가사용",IF(L111="","만료일 없음",IF(L111&lt;$C$6,"만료 +"&amp;TEXT($C$6-L111,"0")&amp;"일",IF(L111-$C$6&lt;=30,"임박 "&amp;TEXT(L111-$C$6,"0")&amp;"일","유효"))))))</f>
      </c>
      <c r="X111" s="49">
        <f>IF(OR($A111="",O111&lt;&gt;"임대중"),"",IF(H111="",0,H111)+IF(I111="",0,I111))</f>
      </c>
      <c r="Y111" s="49">
        <f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</c>
      <c r="Z111" s="44"/>
      <c r="AA111" s="51"/>
      <c r="AB111" s="44"/>
      <c r="AC111" s="50">
        <f>IF($A111="","",IF(O111="공실","공실",IF(O111="자가사용","자가사용",IF(L111="","만료일 없음",IF(L111&lt;$C$6,"만료 경과",IF(L111&lt;=EDATE($C$6,12),"12개월 내","12개월 초과"))))))</f>
      </c>
      <c r="AD111" s="50">
        <f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</c>
      <c r="AE111" s="52">
        <f>IF(OR($A111="",C111=""),"",ROUND(C111*IF($G$9="평",3.305785,1),2))</f>
      </c>
      <c r="AF111" s="52">
        <f>IF(OR($A111="",D111=""),"",ROUND(D111*IF($G$9="평",3.305785,1),2))</f>
      </c>
    </row>
    <row r="112" ht="18" customHeight="1" spans="1:32" x14ac:dyDescent="0.25">
      <c r="A112" s="41"/>
      <c r="B112" s="41"/>
      <c r="C112" s="42"/>
      <c r="D112" s="42"/>
      <c r="E112" s="43"/>
      <c r="F112" s="44"/>
      <c r="G112" s="45"/>
      <c r="H112" s="45"/>
      <c r="I112" s="45"/>
      <c r="J112" s="46"/>
      <c r="K112" s="46"/>
      <c r="L112" s="46"/>
      <c r="M112" s="44"/>
      <c r="N112" s="44"/>
      <c r="O112" s="44"/>
      <c r="P112" s="43"/>
      <c r="Q112" s="47">
        <f>IF(OR($A112="",C112=""),"",AE112/3.305785)</f>
      </c>
      <c r="R112" s="47">
        <f>IF(OR($A112="",D112=""),"",AF112/3.305785)</f>
      </c>
      <c r="S112" s="48">
        <f>IF(OR($A112="",C112="",D112=""),"",IF(C112&gt;0,D112/C112*100,""))</f>
      </c>
      <c r="T112" s="49">
        <f>IF(OR($A112="",O112&lt;&gt;"임대중",F112&lt;&gt;"상가",G112=""),"",G112+H112*100)</f>
      </c>
      <c r="U112" s="50">
        <f>IF(T112="","",IF(T112&lt;=$C$7,"○ 전면적용","× 초과 (5%상한 미적용)"))</f>
      </c>
      <c r="V112" s="50">
        <f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</c>
      <c r="W112" s="50">
        <f>IF($A112="","",IF(O112="공실","공실",IF(O112="자가사용","자가사용",IF(L112="","만료일 없음",IF(L112&lt;$C$6,"만료 +"&amp;TEXT($C$6-L112,"0")&amp;"일",IF(L112-$C$6&lt;=30,"임박 "&amp;TEXT(L112-$C$6,"0")&amp;"일","유효"))))))</f>
      </c>
      <c r="X112" s="49">
        <f>IF(OR($A112="",O112&lt;&gt;"임대중"),"",IF(H112="",0,H112)+IF(I112="",0,I112))</f>
      </c>
      <c r="Y112" s="49">
        <f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</c>
      <c r="Z112" s="44"/>
      <c r="AA112" s="51"/>
      <c r="AB112" s="44"/>
      <c r="AC112" s="50">
        <f>IF($A112="","",IF(O112="공실","공실",IF(O112="자가사용","자가사용",IF(L112="","만료일 없음",IF(L112&lt;$C$6,"만료 경과",IF(L112&lt;=EDATE($C$6,12),"12개월 내","12개월 초과"))))))</f>
      </c>
      <c r="AD112" s="50">
        <f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</c>
      <c r="AE112" s="52">
        <f>IF(OR($A112="",C112=""),"",ROUND(C112*IF($G$9="평",3.305785,1),2))</f>
      </c>
      <c r="AF112" s="52">
        <f>IF(OR($A112="",D112=""),"",ROUND(D112*IF($G$9="평",3.305785,1),2))</f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dxfId="0" priority="2">
      <formula>AND(ISNUMBER($S13),$S13&gt;100)</formula>
    </cfRule>
    <cfRule type="expression" dxfId="1" priority="3">
      <formula>AND(ISNUMBER($S13),$S13&lt;30)</formula>
    </cfRule>
  </conditionalFormatting>
  <conditionalFormatting sqref="D13:D112">
    <cfRule type="expression" dxfId="2" priority="4">
      <formula>AND(ISNUMBER($C13),ISNUMBER($D13),$D13&gt;$C13)</formula>
    </cfRule>
  </conditionalFormatting>
  <conditionalFormatting sqref="W13:W112">
    <cfRule type="expression" dxfId="3" priority="5">
      <formula>LEFT($W13,2)="만료"</formula>
    </cfRule>
    <cfRule type="expression" dxfId="4" priority="6">
      <formula>LEFT($W13,2)="임박"</formula>
    </cfRule>
  </conditionalFormatting>
  <conditionalFormatting sqref="E13:E112">
    <cfRule type="expression" dxfId="5" priority="7">
      <formula>AND($A13&lt;&gt;"",$O13="임대중",E13="")</formula>
    </cfRule>
  </conditionalFormatting>
  <conditionalFormatting sqref="G13:G112">
    <cfRule type="expression" dxfId="6" priority="8">
      <formula>AND($A13&lt;&gt;"",$O13="임대중",G13="",$B13="")</formula>
    </cfRule>
  </conditionalFormatting>
  <conditionalFormatting sqref="H13:H112">
    <cfRule type="expression" dxfId="7" priority="9">
      <formula>AND($A13&lt;&gt;"",$O13="임대중",H13="",$B13="")</formula>
    </cfRule>
  </conditionalFormatting>
  <conditionalFormatting sqref="L13:L112">
    <cfRule type="expression" dxfId="8" priority="10">
      <formula>AND($A13&lt;&gt;"",$O13="임대중",L13="")</formula>
    </cfRule>
  </conditionalFormatting>
  <conditionalFormatting sqref="AD13:AD112">
    <cfRule type="expression" dxfId="9" priority="11">
      <formula>OR(AD13="월세 누락",AD13="금액 중복")</formula>
    </cfRule>
    <cfRule type="expression" dxfId="10" priority="12">
      <formula>AD13="관리비 누락"</formula>
    </cfRule>
  </conditionalFormatting>
  <conditionalFormatting sqref="AC13:AC112">
    <cfRule type="expression" dxfId="11" priority="13">
      <formula>OR(AC13="만료 경과",AC13="12개월 내")</formula>
    </cfRule>
  </conditionalFormatting>
  <conditionalFormatting sqref="AB13:AB112">
    <cfRule type="expression" dxfId="12" priority="14">
      <formula>AB13="연체"</formula>
    </cfRule>
  </conditionalFormatting>
  <conditionalFormatting sqref="G9">
    <cfRule type="expression" dxfId="13" priority="15">
      <formula>$G$9="평"</formula>
    </cfRule>
  </conditionalFormatting>
  <dataValidations count="122">
    <dataValidation type="decimal" operator="greaterThanOrEqual" allowBlank="1" errorStyle="stop" sqref="AA100:AA112">
      <formula1>0</formula1>
      <formula2>0</formula2>
    </dataValidation>
    <dataValidation type="decimal" operator="greaterThanOrEqual" allowBlank="1" errorStyle="stop" sqref="AA13:AA112">
      <formula1>0</formula1>
      <formula2>0</formula2>
    </dataValidation>
    <dataValidation type="list" allowBlank="1" errorStyle="stop" sqref="AB100:AB112">
      <formula1>"정상,연체,미확인"</formula1>
      <formula2>0</formula2>
    </dataValidation>
    <dataValidation type="list" allowBlank="1" errorStyle="stop" sqref="AB13:AB112">
      <formula1>"정상,연체,미확인"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00:C112">
      <formula1>0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3:C112">
      <formula1>0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0">
      <formula1>AND(ISNUMBER(D100),D100&gt;=0,OR(C100="",D100&lt;=C100))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1">
      <formula1>AND(ISNUMBER(D101),D101&gt;=0,OR(C101="",D101&lt;=C101))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2">
      <formula1>AND(ISNUMBER(D102),D102&gt;=0,OR(C102="",D102&lt;=C102))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3">
      <formula1>AND(ISNUMBER(D103),D103&gt;=0,OR(C103="",D103&lt;=C103))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4">
      <formula1>AND(ISNUMBER(D104),D104&gt;=0,OR(C104="",D104&lt;=C104))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5">
      <formula1>AND(ISNUMBER(D105),D105&gt;=0,OR(C105="",D105&lt;=C105))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6">
      <formula1>AND(ISNUMBER(D106),D106&gt;=0,OR(C106="",D106&lt;=C106))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7">
      <formula1>AND(ISNUMBER(D107),D107&gt;=0,OR(C107="",D107&lt;=C107))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8">
      <formula1>AND(ISNUMBER(D108),D108&gt;=0,OR(C108="",D108&lt;=C108))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9">
      <formula1>AND(ISNUMBER(D109),D109&gt;=0,OR(C109="",D109&lt;=C109))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0">
      <formula1>AND(ISNUMBER(D110),D110&gt;=0,OR(C110="",D110&lt;=C110))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1">
      <formula1>AND(ISNUMBER(D111),D111&gt;=0,OR(C111="",D111&lt;=C111))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2">
      <formula1>AND(ISNUMBER(D112),D112&gt;=0,OR(C112="",D112&lt;=C112))</formula1>
      <formula2>0</formula2>
    </dataValidation>
    <dataValidation type="custom" allowBlank="1" showInputMessage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3">
      <formula1>AND(ISNUMBER(D13),D13&gt;=0,OR(C13="",D13&lt;=C13))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4">
      <formula1>AND(ISNUMBER(D14),D14&gt;=0,OR(C14="",D14&lt;=C14))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5">
      <formula1>AND(ISNUMBER(D15),D15&gt;=0,OR(C15="",D15&lt;=C15))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6">
      <formula1>AND(ISNUMBER(D16),D16&gt;=0,OR(C16="",D16&lt;=C16))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7">
      <formula1>AND(ISNUMBER(D17),D17&gt;=0,OR(C17="",D17&lt;=C17))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8">
      <formula1>AND(ISNUMBER(D18),D18&gt;=0,OR(C18="",D18&lt;=C18))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9">
      <formula1>AND(ISNUMBER(D19),D19&gt;=0,OR(C19="",D19&lt;=C19))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0">
      <formula1>AND(ISNUMBER(D20),D20&gt;=0,OR(C20="",D20&lt;=C20))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1">
      <formula1>AND(ISNUMBER(D21),D21&gt;=0,OR(C21="",D21&lt;=C21))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2">
      <formula1>AND(ISNUMBER(D22),D22&gt;=0,OR(C22="",D22&lt;=C22))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3">
      <formula1>AND(ISNUMBER(D23),D23&gt;=0,OR(C23="",D23&lt;=C23))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4">
      <formula1>AND(ISNUMBER(D24),D24&gt;=0,OR(C24="",D24&lt;=C24))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5">
      <formula1>AND(ISNUMBER(D25),D25&gt;=0,OR(C25="",D25&lt;=C25))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6">
      <formula1>AND(ISNUMBER(D26),D26&gt;=0,OR(C26="",D26&lt;=C26))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7">
      <formula1>AND(ISNUMBER(D27),D27&gt;=0,OR(C27="",D27&lt;=C27))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8">
      <formula1>AND(ISNUMBER(D28),D28&gt;=0,OR(C28="",D28&lt;=C28))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9">
      <formula1>AND(ISNUMBER(D29),D29&gt;=0,OR(C29="",D29&lt;=C29))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0">
      <formula1>AND(ISNUMBER(D30),D30&gt;=0,OR(C30="",D30&lt;=C30))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1">
      <formula1>AND(ISNUMBER(D31),D31&gt;=0,OR(C31="",D31&lt;=C31))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2">
      <formula1>AND(ISNUMBER(D32),D32&gt;=0,OR(C32="",D32&lt;=C32))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3">
      <formula1>AND(ISNUMBER(D33),D33&gt;=0,OR(C33="",D33&lt;=C33))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4">
      <formula1>AND(ISNUMBER(D34),D34&gt;=0,OR(C34="",D34&lt;=C34))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5">
      <formula1>AND(ISNUMBER(D35),D35&gt;=0,OR(C35="",D35&lt;=C35))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6">
      <formula1>AND(ISNUMBER(D36),D36&gt;=0,OR(C36="",D36&lt;=C36))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7">
      <formula1>AND(ISNUMBER(D37),D37&gt;=0,OR(C37="",D37&lt;=C37))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8">
      <formula1>AND(ISNUMBER(D38),D38&gt;=0,OR(C38="",D38&lt;=C38))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9">
      <formula1>AND(ISNUMBER(D39),D39&gt;=0,OR(C39="",D39&lt;=C39))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0">
      <formula1>AND(ISNUMBER(D40),D40&gt;=0,OR(C40="",D40&lt;=C40))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1">
      <formula1>AND(ISNUMBER(D41),D41&gt;=0,OR(C41="",D41&lt;=C41))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2">
      <formula1>AND(ISNUMBER(D42),D42&gt;=0,OR(C42="",D42&lt;=C42))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3">
      <formula1>AND(ISNUMBER(D43),D43&gt;=0,OR(C43="",D43&lt;=C43))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4">
      <formula1>AND(ISNUMBER(D44),D44&gt;=0,OR(C44="",D44&lt;=C44))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5">
      <formula1>AND(ISNUMBER(D45),D45&gt;=0,OR(C45="",D45&lt;=C45))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6">
      <formula1>AND(ISNUMBER(D46),D46&gt;=0,OR(C46="",D46&lt;=C46))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7">
      <formula1>AND(ISNUMBER(D47),D47&gt;=0,OR(C47="",D47&lt;=C47))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8">
      <formula1>AND(ISNUMBER(D48),D48&gt;=0,OR(C48="",D48&lt;=C48))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9">
      <formula1>AND(ISNUMBER(D49),D49&gt;=0,OR(C49="",D49&lt;=C49))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0">
      <formula1>AND(ISNUMBER(D50),D50&gt;=0,OR(C50="",D50&lt;=C50))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1">
      <formula1>AND(ISNUMBER(D51),D51&gt;=0,OR(C51="",D51&lt;=C51))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2">
      <formula1>AND(ISNUMBER(D52),D52&gt;=0,OR(C52="",D52&lt;=C52))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3">
      <formula1>AND(ISNUMBER(D53),D53&gt;=0,OR(C53="",D53&lt;=C53))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4">
      <formula1>AND(ISNUMBER(D54),D54&gt;=0,OR(C54="",D54&lt;=C54))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5">
      <formula1>AND(ISNUMBER(D55),D55&gt;=0,OR(C55="",D55&lt;=C55))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6">
      <formula1>AND(ISNUMBER(D56),D56&gt;=0,OR(C56="",D56&lt;=C56))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7">
      <formula1>AND(ISNUMBER(D57),D57&gt;=0,OR(C57="",D57&lt;=C57))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8">
      <formula1>AND(ISNUMBER(D58),D58&gt;=0,OR(C58="",D58&lt;=C58))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9">
      <formula1>AND(ISNUMBER(D59),D59&gt;=0,OR(C59="",D59&lt;=C59))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0">
      <formula1>AND(ISNUMBER(D60),D60&gt;=0,OR(C60="",D60&lt;=C60))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1">
      <formula1>AND(ISNUMBER(D61),D61&gt;=0,OR(C61="",D61&lt;=C61))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2">
      <formula1>AND(ISNUMBER(D62),D62&gt;=0,OR(C62="",D62&lt;=C62))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3">
      <formula1>AND(ISNUMBER(D63),D63&gt;=0,OR(C63="",D63&lt;=C63))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4">
      <formula1>AND(ISNUMBER(D64),D64&gt;=0,OR(C64="",D64&lt;=C64))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5">
      <formula1>AND(ISNUMBER(D65),D65&gt;=0,OR(C65="",D65&lt;=C65))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6">
      <formula1>AND(ISNUMBER(D66),D66&gt;=0,OR(C66="",D66&lt;=C66))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7">
      <formula1>AND(ISNUMBER(D67),D67&gt;=0,OR(C67="",D67&lt;=C67))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8">
      <formula1>AND(ISNUMBER(D68),D68&gt;=0,OR(C68="",D68&lt;=C68))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9">
      <formula1>AND(ISNUMBER(D69),D69&gt;=0,OR(C69="",D69&lt;=C69))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0">
      <formula1>AND(ISNUMBER(D70),D70&gt;=0,OR(C70="",D70&lt;=C70))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1">
      <formula1>AND(ISNUMBER(D71),D71&gt;=0,OR(C71="",D71&lt;=C71))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2">
      <formula1>AND(ISNUMBER(D72),D72&gt;=0,OR(C72="",D72&lt;=C72))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3">
      <formula1>AND(ISNUMBER(D73),D73&gt;=0,OR(C73="",D73&lt;=C73))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4">
      <formula1>AND(ISNUMBER(D74),D74&gt;=0,OR(C74="",D74&lt;=C74))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5">
      <formula1>AND(ISNUMBER(D75),D75&gt;=0,OR(C75="",D75&lt;=C75))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6">
      <formula1>AND(ISNUMBER(D76),D76&gt;=0,OR(C76="",D76&lt;=C76))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7">
      <formula1>AND(ISNUMBER(D77),D77&gt;=0,OR(C77="",D77&lt;=C77))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8">
      <formula1>AND(ISNUMBER(D78),D78&gt;=0,OR(C78="",D78&lt;=C78))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9">
      <formula1>AND(ISNUMBER(D79),D79&gt;=0,OR(C79="",D79&lt;=C79))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0">
      <formula1>AND(ISNUMBER(D80),D80&gt;=0,OR(C80="",D80&lt;=C80))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1">
      <formula1>AND(ISNUMBER(D81),D81&gt;=0,OR(C81="",D81&lt;=C81))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2">
      <formula1>AND(ISNUMBER(D82),D82&gt;=0,OR(C82="",D82&lt;=C82))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3">
      <formula1>AND(ISNUMBER(D83),D83&gt;=0,OR(C83="",D83&lt;=C83))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4">
      <formula1>AND(ISNUMBER(D84),D84&gt;=0,OR(C84="",D84&lt;=C84))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5">
      <formula1>AND(ISNUMBER(D85),D85&gt;=0,OR(C85="",D85&lt;=C85))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6">
      <formula1>AND(ISNUMBER(D86),D86&gt;=0,OR(C86="",D86&lt;=C86))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7">
      <formula1>AND(ISNUMBER(D87),D87&gt;=0,OR(C87="",D87&lt;=C87))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8">
      <formula1>AND(ISNUMBER(D88),D88&gt;=0,OR(C88="",D88&lt;=C88))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9">
      <formula1>AND(ISNUMBER(D89),D89&gt;=0,OR(C89="",D89&lt;=C89))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0">
      <formula1>AND(ISNUMBER(D90),D90&gt;=0,OR(C90="",D90&lt;=C90))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1">
      <formula1>AND(ISNUMBER(D91),D91&gt;=0,OR(C91="",D91&lt;=C91))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2">
      <formula1>AND(ISNUMBER(D92),D92&gt;=0,OR(C92="",D92&lt;=C92))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3">
      <formula1>AND(ISNUMBER(D93),D93&gt;=0,OR(C93="",D93&lt;=C93))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4">
      <formula1>AND(ISNUMBER(D94),D94&gt;=0,OR(C94="",D94&lt;=C94))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5">
      <formula1>AND(ISNUMBER(D95),D95&gt;=0,OR(C95="",D95&lt;=C95))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6">
      <formula1>AND(ISNUMBER(D96),D96&gt;=0,OR(C96="",D96&lt;=C96))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7">
      <formula1>AND(ISNUMBER(D97),D97&gt;=0,OR(C97="",D97&lt;=C97))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8">
      <formula1>AND(ISNUMBER(D98),D98&gt;=0,OR(C98="",D98&lt;=C98))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9">
      <formula1>AND(ISNUMBER(D99),D99&gt;=0,OR(C99="",D99&lt;=C99))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00:F112">
      <formula1>"상가,주택,미확인"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3:F112">
      <formula1>"상가,주택,미확인"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00:I112">
      <formula1>0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3:I112">
      <formula1>0</formula1>
      <formula2>0</formula2>
    </dataValidation>
    <dataValidation type="list" showInputMessage="1" promptTitle="면적 입력 단위" prompt="C·D열 면적을 ㎡로 적을지 평으로 적을지 고릅니다." showErrorMessage="1" errorStyle="stop" errorTitle="면적 단위" error="㎡ 또는 평 중에서 고르세요." sqref="G9">
      <formula1>"㎡,평"</formula1>
      <formula2>0</formula2>
    </dataValidation>
    <dataValidation type="date" operator="greaterThan" allowBlank="1" showErrorMessage="1" errorStyle="warning" errorTitle="날짜 형식" error="YYYY-MM-DD 형식의 날짜를 입력하세요." sqref="J100:L112">
      <formula1>25569.00038048611</formula1>
      <formula2>0</formula2>
    </dataValidation>
    <dataValidation type="date" operator="greaterThan" allowBlank="1" showErrorMessage="1" errorStyle="warning" errorTitle="날짜 형식" error="YYYY-MM-DD 형식의 날짜를 입력하세요." sqref="J13:L112">
      <formula1>25569.00038048611</formula1>
      <formula2>0</formula2>
    </dataValidation>
    <dataValidation type="decimal" operator="greaterThanOrEqual" allowBlank="1" errorStyle="stop" sqref="J3:K8">
      <formula1>0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00:M112">
      <formula1>"있음,없음,모름"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3:M112">
      <formula1>"있음,없음,모름"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00:N112">
      <formula1>"사업자등록,주민등록,미확인"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3:N112">
      <formula1>"사업자등록,주민등록,미확인"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00:O112">
      <formula1>"임대중,공실,자가사용"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3:O112">
      <formula1>"임대중,공실,자가사용"</formula1>
      <formula2>0</formula2>
    </dataValidation>
    <dataValidation type="list" allowBlank="1" errorStyle="stop" sqref="Z100:Z112">
      <formula1>"계약서 원본,매도인 렌트롤,구두"</formula1>
      <formula2>0</formula2>
    </dataValidation>
    <dataValidation type="list" allowBlank="1" errorStyle="stop" sqref="Z13:Z112">
      <formula1>"계약서 원본,매도인 렌트롤,구두"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8" style="1" customWidth="1"/>
    <col min="2" max="2" width="30" style="1" customWidth="1"/>
    <col min="3" max="3" width="34" style="1" customWidth="1"/>
    <col min="4" max="4" width="70" style="1" customWidth="1"/>
  </cols>
  <sheetData>
    <row r="1" ht="24" customHeight="1" spans="1:1" x14ac:dyDescent="0.25">
      <c r="A1" s="53" t="s">
        <v>204</v>
      </c>
    </row>
    <row r="3" ht="15" customHeight="1" spans="1:4" x14ac:dyDescent="0.25">
      <c r="A3" s="54" t="s">
        <v>205</v>
      </c>
      <c r="B3" s="55" t="s">
        <v>206</v>
      </c>
      <c r="C3" s="55" t="s">
        <v>207</v>
      </c>
      <c r="D3" s="55" t="s">
        <v>208</v>
      </c>
    </row>
    <row r="4" ht="15" customHeight="1" spans="1:4" x14ac:dyDescent="0.25">
      <c r="A4" s="56" t="s">
        <v>209</v>
      </c>
      <c r="B4" s="57" t="s">
        <v>210</v>
      </c>
      <c r="C4" s="58">
        <f>TEXT(SUM(렌트롤!$H$13:$H$112),"#,##0")&amp;"원"</f>
      </c>
      <c r="D4" s="59" t="s">
        <v>211</v>
      </c>
    </row>
    <row r="5" ht="15" customHeight="1" spans="1:4" x14ac:dyDescent="0.25">
      <c r="A5" s="56" t="s">
        <v>212</v>
      </c>
      <c r="B5" s="57" t="s">
        <v>213</v>
      </c>
      <c r="C5" s="58">
        <f>TEXT(SUM(렌트롤!$AE$13:$AE$112),"#,##0.00")&amp;"㎡ / "&amp;TEXT(SUM(렌트롤!$Q$13:$Q$112),"#,##0.0")&amp;"평"</f>
      </c>
      <c r="D5" s="59" t="s">
        <v>214</v>
      </c>
    </row>
    <row r="6" ht="15" customHeight="1" spans="1:4" x14ac:dyDescent="0.25">
      <c r="A6" s="56" t="s">
        <v>215</v>
      </c>
      <c r="B6" s="57" t="s">
        <v>216</v>
      </c>
      <c r="C6" s="58">
        <f>TEXT(SUM(렌트롤!$AF$13:$AF$112),"#,##0.00")&amp;"㎡ / "&amp;TEXT(SUM(렌트롤!$R$13:$R$112),"#,##0.0")&amp;"평"</f>
      </c>
      <c r="D6" s="59" t="s">
        <v>217</v>
      </c>
    </row>
    <row r="7" ht="15" customHeight="1" spans="1:4" x14ac:dyDescent="0.25">
      <c r="A7" s="56" t="s">
        <v>218</v>
      </c>
      <c r="B7" s="57" t="s">
        <v>219</v>
      </c>
      <c r="C7" s="58">
        <f>IF(렌트롤!$S$10="","산출 불가 (임대·전용면적 쌍 없음)",TEXT(렌트롤!$S$10,"0.0")&amp;"%")</f>
      </c>
      <c r="D7" s="60" t="s">
        <v>220</v>
      </c>
    </row>
    <row r="8" ht="15" customHeight="1" spans="1:4" x14ac:dyDescent="0.25">
      <c r="A8" s="56" t="s">
        <v>221</v>
      </c>
      <c r="B8" s="57" t="s">
        <v>222</v>
      </c>
      <c r="C8" s="58">
        <f>COUNTIFS(렌트롤!$A$13:$A$112,"&lt;&gt;",렌트롤!$C$13:$C$112,"")&amp;"건"</f>
      </c>
      <c r="D8" s="60" t="s">
        <v>223</v>
      </c>
    </row>
    <row r="9" ht="15" customHeight="1" spans="1:4" x14ac:dyDescent="0.25">
      <c r="A9" s="56" t="s">
        <v>224</v>
      </c>
      <c r="B9" s="57" t="s">
        <v>225</v>
      </c>
      <c r="C9" s="58">
        <f>COUNTIFS(렌트롤!$A$13:$A$112,"&lt;&gt;",렌트롤!$D$13:$D$112,"")&amp;"건"</f>
      </c>
      <c r="D9" s="60" t="s">
        <v>226</v>
      </c>
    </row>
    <row r="10" ht="15" customHeight="1" spans="1:4" x14ac:dyDescent="0.25">
      <c r="A10" s="56" t="s">
        <v>227</v>
      </c>
      <c r="B10" s="57" t="s">
        <v>228</v>
      </c>
      <c r="C10" s="58">
        <f>COUNTIF(렌트롤!$S$13:$S$112,"&gt;100")&amp;"건 100% 초과 / "&amp;COUNTIF(렌트롤!$S$13:$S$112,"&lt;30")&amp;"건 30% 미만"</f>
      </c>
      <c r="D10" s="60" t="s">
        <v>229</v>
      </c>
    </row>
    <row r="11" ht="15" customHeight="1" spans="1:4" x14ac:dyDescent="0.25">
      <c r="A11" s="56" t="s">
        <v>230</v>
      </c>
      <c r="B11" s="57" t="s">
        <v>231</v>
      </c>
      <c r="C11" s="58">
        <f>COUNTIF(렌트롤!$W$13:$W$112,"만료*")&amp;" / "&amp;COUNTIF(렌트롤!$O$13:$O$112,"임대중")&amp;"건"</f>
      </c>
      <c r="D11" s="60" t="s">
        <v>232</v>
      </c>
    </row>
    <row r="12" ht="15" customHeight="1" spans="1:4" x14ac:dyDescent="0.25">
      <c r="A12" s="56" t="s">
        <v>233</v>
      </c>
      <c r="B12" s="57" t="s">
        <v>234</v>
      </c>
      <c r="C12" s="58">
        <f>IF(COUNTIF(렌트롤!$W$13:$W$112,"만료*")&gt;COUNTIF(렌트롤!$O$13:$O$112,"임대중")/2,"발행 차단","통과")</f>
      </c>
      <c r="D12" s="59" t="s">
        <v>235</v>
      </c>
    </row>
    <row r="13" ht="15" customHeight="1" spans="1:4" x14ac:dyDescent="0.25">
      <c r="A13" s="56" t="s">
        <v>236</v>
      </c>
      <c r="B13" s="61" t="s">
        <v>237</v>
      </c>
      <c r="C13" s="58">
        <f>COUNTIF(렌트롤!$W$13:$W$112,"임박*")&amp;"건"</f>
      </c>
      <c r="D13" s="59" t="s">
        <v>238</v>
      </c>
    </row>
    <row r="14" ht="15" customHeight="1" spans="1:4" x14ac:dyDescent="0.25">
      <c r="A14" s="56" t="s">
        <v>239</v>
      </c>
      <c r="B14" s="57" t="s">
        <v>240</v>
      </c>
      <c r="C14" s="58">
        <f>COUNTIF(렌트롤!$V$13:$V$112,"확인 필요")&amp;"건"</f>
      </c>
      <c r="D14" s="59" t="s">
        <v>241</v>
      </c>
    </row>
    <row r="15" ht="15" customHeight="1" spans="1:4" x14ac:dyDescent="0.25">
      <c r="A15" s="56" t="s">
        <v>242</v>
      </c>
      <c r="B15" s="57" t="s">
        <v>243</v>
      </c>
      <c r="C15" s="58">
        <f>COUNTIF(렌트롤!$N$13:$N$112,"미확인")&amp;"건"</f>
      </c>
      <c r="D15" s="59" t="s">
        <v>244</v>
      </c>
    </row>
    <row r="16" ht="15" customHeight="1" spans="1:4" x14ac:dyDescent="0.25">
      <c r="A16" s="56" t="s">
        <v>245</v>
      </c>
      <c r="B16" s="57" t="s">
        <v>246</v>
      </c>
      <c r="C16" s="58">
        <f>COUNTIFS(렌트롤!$A$13:$A$112,"&lt;&gt;",렌트롤!$E$13:$E$112,"")&amp;"건"</f>
      </c>
      <c r="D16" s="59" t="s">
        <v>247</v>
      </c>
    </row>
    <row r="17" ht="15" customHeight="1" spans="1:4" x14ac:dyDescent="0.25">
      <c r="A17" s="56" t="s">
        <v>248</v>
      </c>
      <c r="B17" s="57" t="s">
        <v>249</v>
      </c>
      <c r="C17" s="58">
        <f>COUNTIF(렌트롤!$U$13:$U$112,"×*")&amp;"건"</f>
      </c>
      <c r="D17" s="59" t="s">
        <v>250</v>
      </c>
    </row>
    <row r="18" ht="15" customHeight="1" spans="1:4" x14ac:dyDescent="0.25">
      <c r="A18" s="56" t="s">
        <v>251</v>
      </c>
      <c r="B18" s="57" t="s">
        <v>125</v>
      </c>
      <c r="C18" s="58">
        <f>IF(렌트롤!$C$5="","미기재",TEXT(렌트롤!$C$5,"yyyy-mm-dd"))</f>
      </c>
      <c r="D18" s="59" t="s">
        <v>252</v>
      </c>
    </row>
    <row r="19" ht="15" customHeight="1" spans="1:4" x14ac:dyDescent="0.25">
      <c r="A19" s="56" t="s">
        <v>253</v>
      </c>
      <c r="B19" s="57" t="s">
        <v>254</v>
      </c>
      <c r="C19" s="58">
        <f>COUNTIF(렌트롤!$O$13:$O$112,"공실")&amp;"건 / "&amp;COUNTIF(렌트롤!$O$13:$O$112,"자가사용")&amp;"건"</f>
      </c>
      <c r="D19" s="59" t="s">
        <v>255</v>
      </c>
    </row>
    <row r="21" ht="21.75" customHeight="1" spans="1:1" x14ac:dyDescent="0.25">
      <c r="A21" s="62" t="s">
        <v>256</v>
      </c>
    </row>
    <row r="22" ht="15" customHeight="1" spans="1:4" x14ac:dyDescent="0.25">
      <c r="A22" s="55" t="s">
        <v>257</v>
      </c>
      <c r="B22" s="55" t="s">
        <v>258</v>
      </c>
      <c r="C22" s="55" t="s">
        <v>259</v>
      </c>
      <c r="D22" s="55" t="s">
        <v>260</v>
      </c>
    </row>
    <row r="23" ht="27.75" customHeight="1" spans="1:4" x14ac:dyDescent="0.25">
      <c r="A23" s="63" t="s">
        <v>261</v>
      </c>
      <c r="B23" s="59" t="s">
        <v>262</v>
      </c>
      <c r="C23" s="64">
        <f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</c>
      <c r="D23" s="59" t="s">
        <v>263</v>
      </c>
    </row>
    <row r="24" ht="27.75" customHeight="1" spans="1:4" x14ac:dyDescent="0.25">
      <c r="A24" s="63" t="s">
        <v>264</v>
      </c>
      <c r="B24" s="60" t="s">
        <v>265</v>
      </c>
      <c r="C24" s="64">
        <f>IF(AND(C23="충족",COUNTA(렌트롤!$C$13:$C$112)=COUNTA(렌트롤!$A$13:$A$112),COUNTA(렌트롤!$F$13:$F$112)=COUNTA(렌트롤!$A$13:$A$112),COUNTIF(렌트롤!$AD$13:$AD$112,"관리비 누락")=0),"충족","미달")</f>
      </c>
      <c r="D24" s="59" t="s">
        <v>266</v>
      </c>
    </row>
    <row r="25" ht="27.75" customHeight="1" spans="1:4" x14ac:dyDescent="0.25">
      <c r="A25" s="63" t="s">
        <v>267</v>
      </c>
      <c r="B25" s="60" t="s">
        <v>268</v>
      </c>
      <c r="C25" s="64">
        <f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</c>
      <c r="D25" s="59" t="s">
        <v>269</v>
      </c>
    </row>
    <row r="26" ht="27.75" customHeight="1" spans="1:4" x14ac:dyDescent="0.25">
      <c r="A26" s="65" t="s">
        <v>270</v>
      </c>
      <c r="B26" s="59" t="s">
        <v>271</v>
      </c>
      <c r="C26" s="64">
        <f>IF(AND(COUNTA(렌트롤!$A$13:$A$112)&gt;0,COUNTA(렌트롤!$C$13:$C$112)=COUNTA(렌트롤!$A$13:$A$112),COUNTA(렌트롤!$D$13:$D$112)=COUNTA(렌트롤!$A$13:$A$112),COUNTIF(렌트롤!$S$13:$S$112,"&gt;100")=0),"충족","미달")</f>
      </c>
      <c r="D26" s="59" t="s">
        <v>272</v>
      </c>
    </row>
    <row r="28" ht="21" customHeight="1" spans="2:3" x14ac:dyDescent="0.25">
      <c r="B28" s="66" t="s">
        <v>273</v>
      </c>
      <c r="C28" s="67">
        <f>IF(C25="충족","R3 표준형",IF(C24="충족","R2 필요형",IF(C23="충족","R1 최소형","R0 미달")))</f>
      </c>
    </row>
    <row r="29" ht="31.5" customHeight="1" spans="2:4" x14ac:dyDescent="0.25">
      <c r="B29" s="66" t="s">
        <v>274</v>
      </c>
      <c r="C29" s="68">
        <f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</c>
      <c r="D29" s="68"/>
    </row>
    <row r="31" ht="15" customHeight="1" spans="2:2" x14ac:dyDescent="0.25">
      <c r="B31" s="69" t="s">
        <v>275</v>
      </c>
    </row>
    <row r="33" ht="19.5" customHeight="1" spans="1:1" x14ac:dyDescent="0.25">
      <c r="A33" s="70" t="s">
        <v>276</v>
      </c>
    </row>
    <row r="34" ht="15" customHeight="1" spans="1:4" x14ac:dyDescent="0.25">
      <c r="A34" s="54" t="s">
        <v>205</v>
      </c>
      <c r="B34" s="55" t="s">
        <v>206</v>
      </c>
      <c r="C34" s="55" t="s">
        <v>207</v>
      </c>
      <c r="D34" s="55" t="s">
        <v>208</v>
      </c>
    </row>
    <row r="35" ht="15" customHeight="1" spans="1:4" x14ac:dyDescent="0.25">
      <c r="A35" s="56" t="s">
        <v>277</v>
      </c>
      <c r="B35" s="57" t="s">
        <v>278</v>
      </c>
      <c r="C35" s="58">
        <f>COUNTIF(렌트롤!$AD$13:$AD$112,"월세 누락")&amp;"건 월세 누락 / "&amp;COUNTIF(렌트롤!$AD$13:$AD$112,"금액 중복")&amp;"건 그룹 금액 중복"</f>
      </c>
      <c r="D35" s="59" t="s">
        <v>279</v>
      </c>
    </row>
    <row r="36" ht="15" customHeight="1" spans="1:4" x14ac:dyDescent="0.25">
      <c r="A36" s="56" t="s">
        <v>280</v>
      </c>
      <c r="B36" s="57" t="s">
        <v>88</v>
      </c>
      <c r="C36" s="58">
        <f>IF(렌트롤!$C$5="","⚠ 렌트롤 기준일 없음 — TODAY() 사용 중(재현 불가)","렌트롤 기준일로 고정: "&amp;TEXT(렌트롤!$C$5,"yyyy-mm-dd"))</f>
      </c>
      <c r="D36" s="60" t="s">
        <v>281</v>
      </c>
    </row>
    <row r="37" ht="15" customHeight="1" spans="1:4" x14ac:dyDescent="0.25">
      <c r="A37" s="56" t="s">
        <v>282</v>
      </c>
      <c r="B37" s="57" t="s">
        <v>283</v>
      </c>
      <c r="C37" s="58">
        <f>IF(렌트롤!$J$4="","연면적 미입력",TEXT(SUM(렌트롤!$AE$13:$AE$112)/렌트롤!$J$4,"0.0%"))</f>
      </c>
      <c r="D37" s="59" t="s">
        <v>284</v>
      </c>
    </row>
    <row r="38" ht="15" customHeight="1" spans="1:4" x14ac:dyDescent="0.25">
      <c r="A38" s="56" t="s">
        <v>285</v>
      </c>
      <c r="B38" s="57" t="s">
        <v>286</v>
      </c>
      <c r="C38" s="58">
        <f>IF(OR(렌트롤!$J$3="",렌트롤!$J$3-SUM(렌트롤!$G$13:$G$112)&lt;=0),"매각가 미입력",TEXT(SUM(렌트롤!$H$13:$H$112)*12/(렌트롤!$J$3-SUM(렌트롤!$G$13:$G$112)),"0.00%"))</f>
      </c>
      <c r="D38" s="59" t="s">
        <v>287</v>
      </c>
    </row>
    <row r="39" ht="15" customHeight="1" spans="1:4" x14ac:dyDescent="0.25">
      <c r="A39" s="56" t="s">
        <v>288</v>
      </c>
      <c r="B39" s="57" t="s">
        <v>289</v>
      </c>
      <c r="C39" s="58">
        <f>IF(OR(렌트롤!$J$3="",렌트롤!$J$3-SUM(렌트롤!$G$13:$G$112)&lt;=0),"매각가 미입력",TEXT((SUM(렌트롤!$H$13:$H$112)+N(렌트롤!$J$8))*12/(렌트롤!$J$3-SUM(렌트롤!$G$13:$G$112)),"0.00%"))</f>
      </c>
      <c r="D39" s="60" t="s">
        <v>290</v>
      </c>
    </row>
    <row r="40" ht="15" customHeight="1" spans="1:4" x14ac:dyDescent="0.25">
      <c r="A40" s="56" t="s">
        <v>291</v>
      </c>
      <c r="B40" s="61" t="s">
        <v>292</v>
      </c>
      <c r="C40" s="58">
        <f>IF(SUM(렌트롤!$H$13:$H$112)=0,"-",TEXT((SUMIFS(렌트롤!$H$13:$H$112,렌트롤!$AC$13:$AC$112,"12개월 내")+SUMIFS(렌트롤!$H$13:$H$112,렌트롤!$AC$13:$AC$112,"만료 경과"))/SUM(렌트롤!$H$13:$H$112),"0.0%"))</f>
      </c>
      <c r="D40" s="59" t="s">
        <v>293</v>
      </c>
    </row>
    <row r="41" ht="26.25" customHeight="1" spans="1:4" x14ac:dyDescent="0.25">
      <c r="A41" s="56" t="s">
        <v>294</v>
      </c>
      <c r="B41" s="57" t="s">
        <v>295</v>
      </c>
      <c r="C41" s="58">
        <f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</c>
      <c r="D41" s="59" t="s">
        <v>296</v>
      </c>
    </row>
    <row r="42" ht="15" customHeight="1" spans="1:4" x14ac:dyDescent="0.25">
      <c r="A42" s="56" t="s">
        <v>297</v>
      </c>
      <c r="B42" s="57" t="s">
        <v>298</v>
      </c>
      <c r="C42" s="58">
        <f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</c>
      <c r="D42" s="59" t="s">
        <v>299</v>
      </c>
    </row>
    <row r="43" ht="15" customHeight="1" spans="1:4" x14ac:dyDescent="0.25">
      <c r="A43" s="56" t="s">
        <v>300</v>
      </c>
      <c r="B43" s="57" t="s">
        <v>301</v>
      </c>
      <c r="C43" s="58">
        <f>COUNTIF(렌트롤!$AA$13:$AA$112,"&gt;0")&amp;"건"</f>
      </c>
      <c r="D43" s="60" t="s">
        <v>302</v>
      </c>
    </row>
    <row r="44" ht="15" customHeight="1" spans="1:4" x14ac:dyDescent="0.25">
      <c r="A44" s="56" t="s">
        <v>303</v>
      </c>
      <c r="B44" s="57" t="s">
        <v>304</v>
      </c>
      <c r="C44" s="58">
        <f>COUNT(렌트롤!$J$5:$J$7)&amp;"/3칸, 출처 "&amp;COUNTA(렌트롤!$M$5:$M$7)&amp;"/3칸"</f>
      </c>
      <c r="D44" s="60" t="s">
        <v>305</v>
      </c>
    </row>
    <row r="45" ht="15" customHeight="1" spans="1:4" x14ac:dyDescent="0.25">
      <c r="A45" s="56" t="s">
        <v>306</v>
      </c>
      <c r="B45" s="61" t="s">
        <v>307</v>
      </c>
      <c r="C45" s="58">
        <f>IF(AND(C25="충족",COUNT(렌트롤!$J$5:$J$7)&gt;=1,COUNTA(렌트롤!$M$5:$M$7)&gt;=COUNT(렌트롤!$J$5:$J$7),COUNTIFS(렌트롤!$O$13:$O$112,"임대중",렌트롤!$Z$13:$Z$112,"")=0),"충족","미달")</f>
      </c>
      <c r="D45" s="60" t="s">
        <v>308</v>
      </c>
    </row>
    <row r="46" ht="15" customHeight="1" spans="1:4" x14ac:dyDescent="0.25">
      <c r="A46" s="56" t="s">
        <v>309</v>
      </c>
      <c r="B46" s="71" t="s">
        <v>310</v>
      </c>
      <c r="C46" s="72">
        <f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</c>
      <c r="D46" s="73" t="s">
        <v>311</v>
      </c>
    </row>
    <row r="47" ht="15" customHeight="1" spans="1:4" x14ac:dyDescent="0.25">
      <c r="A47" s="56" t="s">
        <v>312</v>
      </c>
      <c r="B47" s="71" t="s">
        <v>313</v>
      </c>
      <c r="C47" s="58">
        <f>IF(렌트롤!$G$9="평","평 — C·D열 × 3.305785 = AE·AF열(㎡)",IF(렌트롤!$G$9="㎡","㎡ — C·D열 = AE·AF열","⚠ G9 단위 미선택"))</f>
      </c>
      <c r="D47" s="73" t="s">
        <v>314</v>
      </c>
    </row>
  </sheetData>
  <mergeCells count="1">
    <mergeCell ref="C29:D29"/>
  </mergeCells>
  <conditionalFormatting sqref="C46">
    <cfRule type="expression" dxfId="14" priority="2">
      <formula>LEFT($C$46,1)="⚠"</formula>
    </cfRule>
  </conditionalFormatting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22" style="1" customWidth="1"/>
    <col min="5" max="5" width="24" style="1" customWidth="1"/>
    <col min="6" max="6" width="62" style="1" customWidth="1"/>
    <col min="7" max="7" width="26" style="1" customWidth="1"/>
    <col min="8" max="8" width="28" style="1" customWidth="1"/>
    <col min="9" max="9" width="52" style="1" customWidth="1"/>
  </cols>
  <sheetData>
    <row r="1" ht="24" customHeight="1" spans="1:1" x14ac:dyDescent="0.25">
      <c r="A1" s="53" t="s">
        <v>315</v>
      </c>
    </row>
    <row r="2" ht="15" customHeight="1" spans="1:1" x14ac:dyDescent="0.25">
      <c r="A2" s="12" t="s">
        <v>316</v>
      </c>
    </row>
    <row r="3" ht="24" customHeight="1" spans="1:9" x14ac:dyDescent="0.25">
      <c r="A3" s="74" t="s">
        <v>317</v>
      </c>
      <c r="B3" s="74" t="s">
        <v>318</v>
      </c>
      <c r="C3" s="74" t="s">
        <v>319</v>
      </c>
      <c r="D3" s="74" t="s">
        <v>320</v>
      </c>
      <c r="E3" s="74" t="s">
        <v>321</v>
      </c>
      <c r="F3" s="74" t="s">
        <v>322</v>
      </c>
      <c r="G3" s="74" t="s">
        <v>323</v>
      </c>
      <c r="H3" s="74" t="s">
        <v>324</v>
      </c>
      <c r="I3" s="74" t="s">
        <v>325</v>
      </c>
    </row>
    <row r="4" ht="30" customHeight="1" spans="1:9" x14ac:dyDescent="0.25">
      <c r="A4" s="75" t="s">
        <v>189</v>
      </c>
      <c r="B4" s="76" t="s">
        <v>45</v>
      </c>
      <c r="C4" s="77" t="s">
        <v>145</v>
      </c>
      <c r="D4" s="78" t="s">
        <v>326</v>
      </c>
      <c r="E4" s="79" t="s">
        <v>327</v>
      </c>
      <c r="F4" s="79" t="s">
        <v>328</v>
      </c>
      <c r="G4" s="80" t="s">
        <v>329</v>
      </c>
      <c r="H4" s="80" t="s">
        <v>330</v>
      </c>
      <c r="I4" s="79" t="s">
        <v>331</v>
      </c>
    </row>
    <row r="5" ht="64.5" customHeight="1" spans="1:9" x14ac:dyDescent="0.25">
      <c r="A5" s="75" t="s">
        <v>332</v>
      </c>
      <c r="B5" s="76" t="s">
        <v>152</v>
      </c>
      <c r="C5" s="81" t="s">
        <v>146</v>
      </c>
      <c r="D5" s="78" t="s">
        <v>333</v>
      </c>
      <c r="E5" s="79" t="s">
        <v>327</v>
      </c>
      <c r="F5" s="79" t="s">
        <v>334</v>
      </c>
      <c r="G5" s="80" t="s">
        <v>335</v>
      </c>
      <c r="H5" s="80" t="s">
        <v>336</v>
      </c>
      <c r="I5" s="79" t="s">
        <v>337</v>
      </c>
    </row>
    <row r="6" ht="39" customHeight="1" spans="1:9" x14ac:dyDescent="0.25">
      <c r="A6" s="75" t="s">
        <v>338</v>
      </c>
      <c r="B6" s="76" t="s">
        <v>339</v>
      </c>
      <c r="C6" s="81" t="s">
        <v>146</v>
      </c>
      <c r="D6" s="78" t="s">
        <v>340</v>
      </c>
      <c r="E6" s="79" t="s">
        <v>341</v>
      </c>
      <c r="F6" s="79" t="s">
        <v>342</v>
      </c>
      <c r="G6" s="80" t="s">
        <v>343</v>
      </c>
      <c r="H6" s="80" t="s">
        <v>344</v>
      </c>
      <c r="I6" s="80" t="s">
        <v>345</v>
      </c>
    </row>
    <row r="7" ht="51.75" customHeight="1" spans="1:9" x14ac:dyDescent="0.25">
      <c r="A7" s="75" t="s">
        <v>346</v>
      </c>
      <c r="B7" s="76" t="s">
        <v>347</v>
      </c>
      <c r="C7" s="81" t="s">
        <v>147</v>
      </c>
      <c r="D7" s="78" t="s">
        <v>340</v>
      </c>
      <c r="E7" s="79" t="s">
        <v>341</v>
      </c>
      <c r="F7" s="79" t="s">
        <v>348</v>
      </c>
      <c r="G7" s="80" t="s">
        <v>349</v>
      </c>
      <c r="H7" s="80" t="s">
        <v>350</v>
      </c>
      <c r="I7" s="79" t="s">
        <v>351</v>
      </c>
    </row>
    <row r="8" ht="30" customHeight="1" spans="1:9" x14ac:dyDescent="0.25">
      <c r="A8" s="75" t="s">
        <v>352</v>
      </c>
      <c r="B8" s="76" t="s">
        <v>47</v>
      </c>
      <c r="C8" s="77" t="s">
        <v>145</v>
      </c>
      <c r="D8" s="78" t="s">
        <v>326</v>
      </c>
      <c r="E8" s="79" t="s">
        <v>327</v>
      </c>
      <c r="F8" s="79" t="s">
        <v>353</v>
      </c>
      <c r="G8" s="80" t="s">
        <v>354</v>
      </c>
      <c r="H8" s="80" t="s">
        <v>355</v>
      </c>
      <c r="I8" s="80" t="s">
        <v>356</v>
      </c>
    </row>
    <row r="9" ht="30" customHeight="1" spans="1:9" x14ac:dyDescent="0.25">
      <c r="A9" s="75" t="s">
        <v>357</v>
      </c>
      <c r="B9" s="76" t="s">
        <v>153</v>
      </c>
      <c r="C9" s="81" t="s">
        <v>146</v>
      </c>
      <c r="D9" s="78" t="s">
        <v>340</v>
      </c>
      <c r="E9" s="79" t="s">
        <v>358</v>
      </c>
      <c r="F9" s="79" t="s">
        <v>359</v>
      </c>
      <c r="G9" s="80" t="s">
        <v>360</v>
      </c>
      <c r="H9" s="80" t="s">
        <v>361</v>
      </c>
      <c r="I9" s="80" t="s">
        <v>362</v>
      </c>
    </row>
    <row r="10" ht="30" customHeight="1" spans="1:9" x14ac:dyDescent="0.25">
      <c r="A10" s="75" t="s">
        <v>363</v>
      </c>
      <c r="B10" s="76" t="s">
        <v>154</v>
      </c>
      <c r="C10" s="77" t="s">
        <v>145</v>
      </c>
      <c r="D10" s="78" t="s">
        <v>326</v>
      </c>
      <c r="E10" s="79" t="s">
        <v>364</v>
      </c>
      <c r="F10" s="79" t="s">
        <v>365</v>
      </c>
      <c r="G10" s="80" t="s">
        <v>366</v>
      </c>
      <c r="H10" s="80" t="s">
        <v>367</v>
      </c>
      <c r="I10" s="80" t="s">
        <v>368</v>
      </c>
    </row>
    <row r="11" ht="30" customHeight="1" spans="1:9" x14ac:dyDescent="0.25">
      <c r="A11" s="75" t="s">
        <v>369</v>
      </c>
      <c r="B11" s="76" t="s">
        <v>155</v>
      </c>
      <c r="C11" s="77" t="s">
        <v>145</v>
      </c>
      <c r="D11" s="78" t="s">
        <v>326</v>
      </c>
      <c r="E11" s="79" t="s">
        <v>364</v>
      </c>
      <c r="F11" s="79" t="s">
        <v>370</v>
      </c>
      <c r="G11" s="80" t="s">
        <v>371</v>
      </c>
      <c r="H11" s="80" t="s">
        <v>372</v>
      </c>
      <c r="I11" s="80" t="s">
        <v>373</v>
      </c>
    </row>
    <row r="12" ht="30" customHeight="1" spans="1:9" x14ac:dyDescent="0.25">
      <c r="A12" s="75" t="s">
        <v>374</v>
      </c>
      <c r="B12" s="76" t="s">
        <v>156</v>
      </c>
      <c r="C12" s="81" t="s">
        <v>146</v>
      </c>
      <c r="D12" s="78" t="s">
        <v>340</v>
      </c>
      <c r="E12" s="79" t="s">
        <v>364</v>
      </c>
      <c r="F12" s="79" t="s">
        <v>375</v>
      </c>
      <c r="G12" s="80" t="s">
        <v>376</v>
      </c>
      <c r="H12" s="80" t="s">
        <v>377</v>
      </c>
      <c r="I12" s="80" t="s">
        <v>378</v>
      </c>
    </row>
    <row r="13" ht="30" customHeight="1" spans="1:9" x14ac:dyDescent="0.25">
      <c r="A13" s="75" t="s">
        <v>379</v>
      </c>
      <c r="B13" s="76" t="s">
        <v>157</v>
      </c>
      <c r="C13" s="82" t="s">
        <v>148</v>
      </c>
      <c r="D13" s="78" t="s">
        <v>333</v>
      </c>
      <c r="E13" s="79" t="s">
        <v>380</v>
      </c>
      <c r="F13" s="79" t="s">
        <v>381</v>
      </c>
      <c r="G13" s="80" t="s">
        <v>382</v>
      </c>
      <c r="H13" s="80" t="s">
        <v>383</v>
      </c>
      <c r="I13" s="80" t="s">
        <v>384</v>
      </c>
    </row>
    <row r="14" ht="30" customHeight="1" spans="1:9" x14ac:dyDescent="0.25">
      <c r="A14" s="75" t="s">
        <v>385</v>
      </c>
      <c r="B14" s="76" t="s">
        <v>158</v>
      </c>
      <c r="C14" s="81" t="s">
        <v>146</v>
      </c>
      <c r="D14" s="78" t="s">
        <v>340</v>
      </c>
      <c r="E14" s="79" t="s">
        <v>380</v>
      </c>
      <c r="F14" s="79" t="s">
        <v>386</v>
      </c>
      <c r="G14" s="80" t="s">
        <v>387</v>
      </c>
      <c r="H14" s="80" t="s">
        <v>388</v>
      </c>
      <c r="I14" s="79" t="s">
        <v>389</v>
      </c>
    </row>
    <row r="15" ht="30" customHeight="1" spans="1:9" x14ac:dyDescent="0.25">
      <c r="A15" s="75" t="s">
        <v>390</v>
      </c>
      <c r="B15" s="76" t="s">
        <v>53</v>
      </c>
      <c r="C15" s="77" t="s">
        <v>145</v>
      </c>
      <c r="D15" s="78" t="s">
        <v>326</v>
      </c>
      <c r="E15" s="79" t="s">
        <v>380</v>
      </c>
      <c r="F15" s="79" t="s">
        <v>391</v>
      </c>
      <c r="G15" s="80" t="s">
        <v>392</v>
      </c>
      <c r="H15" s="80" t="s">
        <v>393</v>
      </c>
      <c r="I15" s="80" t="s">
        <v>394</v>
      </c>
    </row>
    <row r="16" ht="39" customHeight="1" spans="1:9" x14ac:dyDescent="0.25">
      <c r="A16" s="75" t="s">
        <v>395</v>
      </c>
      <c r="B16" s="76" t="s">
        <v>159</v>
      </c>
      <c r="C16" s="82" t="s">
        <v>148</v>
      </c>
      <c r="D16" s="78" t="s">
        <v>333</v>
      </c>
      <c r="E16" s="79" t="s">
        <v>396</v>
      </c>
      <c r="F16" s="79" t="s">
        <v>397</v>
      </c>
      <c r="G16" s="80" t="s">
        <v>398</v>
      </c>
      <c r="H16" s="80" t="s">
        <v>399</v>
      </c>
      <c r="I16" s="80" t="s">
        <v>400</v>
      </c>
    </row>
    <row r="17" ht="30" customHeight="1" spans="1:9" x14ac:dyDescent="0.25">
      <c r="A17" s="75" t="s">
        <v>401</v>
      </c>
      <c r="B17" s="76" t="s">
        <v>160</v>
      </c>
      <c r="C17" s="82" t="s">
        <v>148</v>
      </c>
      <c r="D17" s="78" t="s">
        <v>340</v>
      </c>
      <c r="E17" s="79" t="s">
        <v>402</v>
      </c>
      <c r="F17" s="79" t="s">
        <v>403</v>
      </c>
      <c r="G17" s="80" t="s">
        <v>404</v>
      </c>
      <c r="H17" s="80" t="s">
        <v>405</v>
      </c>
      <c r="I17" s="80" t="s">
        <v>406</v>
      </c>
    </row>
    <row r="18" ht="30" customHeight="1" spans="1:9" x14ac:dyDescent="0.25">
      <c r="A18" s="75" t="s">
        <v>407</v>
      </c>
      <c r="B18" s="76" t="s">
        <v>49</v>
      </c>
      <c r="C18" s="77" t="s">
        <v>145</v>
      </c>
      <c r="D18" s="78" t="s">
        <v>326</v>
      </c>
      <c r="E18" s="79" t="s">
        <v>408</v>
      </c>
      <c r="F18" s="79" t="s">
        <v>409</v>
      </c>
      <c r="G18" s="80" t="s">
        <v>410</v>
      </c>
      <c r="H18" s="80" t="s">
        <v>411</v>
      </c>
      <c r="I18" s="80" t="s">
        <v>412</v>
      </c>
    </row>
    <row r="19" ht="30" customHeight="1" spans="1:9" x14ac:dyDescent="0.25">
      <c r="A19" s="75" t="s">
        <v>413</v>
      </c>
      <c r="B19" s="76" t="s">
        <v>161</v>
      </c>
      <c r="C19" s="83" t="s">
        <v>149</v>
      </c>
      <c r="D19" s="78" t="s">
        <v>414</v>
      </c>
      <c r="E19" s="79" t="s">
        <v>327</v>
      </c>
      <c r="F19" s="79" t="s">
        <v>415</v>
      </c>
      <c r="G19" s="80" t="s">
        <v>416</v>
      </c>
      <c r="H19" s="80" t="s">
        <v>416</v>
      </c>
      <c r="I19" s="79" t="s">
        <v>417</v>
      </c>
    </row>
    <row r="20" ht="30" customHeight="1" spans="1:9" x14ac:dyDescent="0.25">
      <c r="A20" s="84" t="s">
        <v>418</v>
      </c>
      <c r="B20" s="85" t="s">
        <v>162</v>
      </c>
      <c r="C20" s="86" t="s">
        <v>150</v>
      </c>
      <c r="D20" s="87" t="s">
        <v>150</v>
      </c>
      <c r="E20" s="88" t="s">
        <v>419</v>
      </c>
      <c r="F20" s="89" t="s">
        <v>420</v>
      </c>
      <c r="G20" s="89" t="s">
        <v>421</v>
      </c>
      <c r="H20" s="89" t="s">
        <v>422</v>
      </c>
      <c r="I20" s="89" t="s">
        <v>149</v>
      </c>
    </row>
    <row r="21" ht="30" customHeight="1" spans="1:9" x14ac:dyDescent="0.25">
      <c r="A21" s="84" t="s">
        <v>423</v>
      </c>
      <c r="B21" s="85" t="s">
        <v>163</v>
      </c>
      <c r="C21" s="86" t="s">
        <v>150</v>
      </c>
      <c r="D21" s="87" t="s">
        <v>150</v>
      </c>
      <c r="E21" s="88" t="s">
        <v>419</v>
      </c>
      <c r="F21" s="89" t="s">
        <v>424</v>
      </c>
      <c r="G21" s="89" t="s">
        <v>421</v>
      </c>
      <c r="H21" s="89" t="s">
        <v>422</v>
      </c>
      <c r="I21" s="89" t="s">
        <v>149</v>
      </c>
    </row>
    <row r="22" ht="39" customHeight="1" spans="1:9" x14ac:dyDescent="0.25">
      <c r="A22" s="84" t="s">
        <v>425</v>
      </c>
      <c r="B22" s="85" t="s">
        <v>164</v>
      </c>
      <c r="C22" s="86" t="s">
        <v>150</v>
      </c>
      <c r="D22" s="87" t="s">
        <v>150</v>
      </c>
      <c r="E22" s="89" t="s">
        <v>426</v>
      </c>
      <c r="F22" s="89" t="s">
        <v>427</v>
      </c>
      <c r="G22" s="89" t="s">
        <v>428</v>
      </c>
      <c r="H22" s="89" t="s">
        <v>429</v>
      </c>
      <c r="I22" s="89" t="s">
        <v>149</v>
      </c>
    </row>
    <row r="23" ht="30" customHeight="1" spans="1:9" x14ac:dyDescent="0.25">
      <c r="A23" s="84" t="s">
        <v>430</v>
      </c>
      <c r="B23" s="85" t="s">
        <v>165</v>
      </c>
      <c r="C23" s="86" t="s">
        <v>150</v>
      </c>
      <c r="D23" s="87" t="s">
        <v>150</v>
      </c>
      <c r="E23" s="88" t="s">
        <v>431</v>
      </c>
      <c r="F23" s="89" t="s">
        <v>432</v>
      </c>
      <c r="G23" s="89" t="s">
        <v>421</v>
      </c>
      <c r="H23" s="89" t="s">
        <v>433</v>
      </c>
      <c r="I23" s="89" t="s">
        <v>149</v>
      </c>
    </row>
    <row r="24" ht="39" customHeight="1" spans="1:9" x14ac:dyDescent="0.25">
      <c r="A24" s="84" t="s">
        <v>434</v>
      </c>
      <c r="B24" s="85" t="s">
        <v>166</v>
      </c>
      <c r="C24" s="86" t="s">
        <v>150</v>
      </c>
      <c r="D24" s="87" t="s">
        <v>150</v>
      </c>
      <c r="E24" s="89" t="s">
        <v>435</v>
      </c>
      <c r="F24" s="88" t="s">
        <v>436</v>
      </c>
      <c r="G24" s="89" t="s">
        <v>421</v>
      </c>
      <c r="H24" s="89" t="s">
        <v>437</v>
      </c>
      <c r="I24" s="89" t="s">
        <v>149</v>
      </c>
    </row>
    <row r="25" ht="39" customHeight="1" spans="1:9" x14ac:dyDescent="0.25">
      <c r="A25" s="84" t="s">
        <v>438</v>
      </c>
      <c r="B25" s="85" t="s">
        <v>167</v>
      </c>
      <c r="C25" s="86" t="s">
        <v>150</v>
      </c>
      <c r="D25" s="87" t="s">
        <v>150</v>
      </c>
      <c r="E25" s="88" t="s">
        <v>439</v>
      </c>
      <c r="F25" s="88" t="s">
        <v>440</v>
      </c>
      <c r="G25" s="89" t="s">
        <v>421</v>
      </c>
      <c r="H25" s="89" t="s">
        <v>441</v>
      </c>
      <c r="I25" s="89" t="s">
        <v>149</v>
      </c>
    </row>
    <row r="26" ht="30" customHeight="1" spans="1:9" x14ac:dyDescent="0.25">
      <c r="A26" s="84" t="s">
        <v>442</v>
      </c>
      <c r="B26" s="85" t="s">
        <v>168</v>
      </c>
      <c r="C26" s="86" t="s">
        <v>150</v>
      </c>
      <c r="D26" s="87" t="s">
        <v>150</v>
      </c>
      <c r="E26" s="88" t="s">
        <v>443</v>
      </c>
      <c r="F26" s="88" t="s">
        <v>444</v>
      </c>
      <c r="G26" s="89" t="s">
        <v>421</v>
      </c>
      <c r="H26" s="89" t="s">
        <v>445</v>
      </c>
      <c r="I26" s="89" t="s">
        <v>149</v>
      </c>
    </row>
    <row r="27" ht="30" customHeight="1" spans="1:9" x14ac:dyDescent="0.25">
      <c r="A27" s="84" t="s">
        <v>446</v>
      </c>
      <c r="B27" s="85" t="s">
        <v>169</v>
      </c>
      <c r="C27" s="86" t="s">
        <v>150</v>
      </c>
      <c r="D27" s="87" t="s">
        <v>150</v>
      </c>
      <c r="E27" s="88" t="s">
        <v>431</v>
      </c>
      <c r="F27" s="89" t="s">
        <v>447</v>
      </c>
      <c r="G27" s="89" t="s">
        <v>421</v>
      </c>
      <c r="H27" s="89" t="s">
        <v>448</v>
      </c>
      <c r="I27" s="89" t="s">
        <v>149</v>
      </c>
    </row>
    <row r="28" ht="30" customHeight="1" spans="1:9" x14ac:dyDescent="0.25">
      <c r="A28" s="84" t="s">
        <v>449</v>
      </c>
      <c r="B28" s="85" t="s">
        <v>170</v>
      </c>
      <c r="C28" s="86" t="s">
        <v>150</v>
      </c>
      <c r="D28" s="87" t="s">
        <v>150</v>
      </c>
      <c r="E28" s="88" t="s">
        <v>450</v>
      </c>
      <c r="F28" s="89" t="s">
        <v>451</v>
      </c>
      <c r="G28" s="89" t="s">
        <v>421</v>
      </c>
      <c r="H28" s="89" t="s">
        <v>452</v>
      </c>
      <c r="I28" s="89" t="s">
        <v>149</v>
      </c>
    </row>
    <row r="30" ht="15" customHeight="1" spans="1:1" x14ac:dyDescent="0.25">
      <c r="A30" s="90" t="s">
        <v>453</v>
      </c>
    </row>
    <row r="31" ht="15" customHeight="1" spans="1:6" x14ac:dyDescent="0.25">
      <c r="A31" s="55" t="s">
        <v>257</v>
      </c>
      <c r="B31" s="55" t="s">
        <v>454</v>
      </c>
      <c r="C31" s="55"/>
      <c r="D31" s="55"/>
      <c r="E31" s="55" t="s">
        <v>455</v>
      </c>
      <c r="F31" s="55" t="s">
        <v>260</v>
      </c>
    </row>
    <row r="32" ht="33.75" customHeight="1" spans="1:6" x14ac:dyDescent="0.25">
      <c r="A32" s="91" t="s">
        <v>456</v>
      </c>
      <c r="B32" s="92" t="s">
        <v>457</v>
      </c>
      <c r="C32" s="92"/>
      <c r="D32" s="92"/>
      <c r="E32" s="59" t="s">
        <v>458</v>
      </c>
      <c r="F32" s="59" t="s">
        <v>459</v>
      </c>
    </row>
    <row r="33" ht="33.75" customHeight="1" spans="1:6" x14ac:dyDescent="0.25">
      <c r="A33" s="93" t="s">
        <v>145</v>
      </c>
      <c r="B33" s="92" t="s">
        <v>460</v>
      </c>
      <c r="C33" s="92"/>
      <c r="D33" s="92"/>
      <c r="E33" s="59" t="s">
        <v>461</v>
      </c>
      <c r="F33" s="59" t="s">
        <v>263</v>
      </c>
    </row>
    <row r="34" ht="33.75" customHeight="1" spans="1:6" x14ac:dyDescent="0.25">
      <c r="A34" s="94" t="s">
        <v>146</v>
      </c>
      <c r="B34" s="92" t="s">
        <v>462</v>
      </c>
      <c r="C34" s="92"/>
      <c r="D34" s="92"/>
      <c r="E34" s="60" t="s">
        <v>463</v>
      </c>
      <c r="F34" s="59" t="s">
        <v>464</v>
      </c>
    </row>
    <row r="35" ht="33.75" customHeight="1" spans="1:6" x14ac:dyDescent="0.25">
      <c r="A35" s="95" t="s">
        <v>148</v>
      </c>
      <c r="B35" s="92" t="s">
        <v>465</v>
      </c>
      <c r="C35" s="92"/>
      <c r="D35" s="92"/>
      <c r="E35" s="60" t="s">
        <v>466</v>
      </c>
      <c r="F35" s="59" t="s">
        <v>269</v>
      </c>
    </row>
    <row r="37" ht="18.75" customHeight="1" spans="1:1" x14ac:dyDescent="0.25">
      <c r="A37" s="90" t="s">
        <v>467</v>
      </c>
    </row>
    <row r="38" ht="27.75" customHeight="1" spans="2:6" x14ac:dyDescent="0.25">
      <c r="B38" s="96" t="s">
        <v>468</v>
      </c>
      <c r="C38" s="96"/>
      <c r="D38" s="96"/>
      <c r="E38" s="59" t="s">
        <v>469</v>
      </c>
      <c r="F38" s="59"/>
    </row>
    <row r="39" ht="27.75" customHeight="1" spans="2:6" x14ac:dyDescent="0.25">
      <c r="B39" s="96" t="s">
        <v>470</v>
      </c>
      <c r="C39" s="96"/>
      <c r="D39" s="96"/>
      <c r="E39" s="59" t="s">
        <v>471</v>
      </c>
      <c r="F39" s="59"/>
    </row>
    <row r="40" ht="27.75" customHeight="1" spans="2:6" x14ac:dyDescent="0.25">
      <c r="B40" s="96" t="s">
        <v>472</v>
      </c>
      <c r="C40" s="96"/>
      <c r="D40" s="96"/>
      <c r="E40" s="59" t="s">
        <v>473</v>
      </c>
      <c r="F40" s="59"/>
    </row>
    <row r="41" ht="27.75" customHeight="1" spans="2:6" x14ac:dyDescent="0.25">
      <c r="B41" s="96" t="s">
        <v>474</v>
      </c>
      <c r="C41" s="96"/>
      <c r="D41" s="96"/>
      <c r="E41" s="59" t="s">
        <v>475</v>
      </c>
      <c r="F41" s="59"/>
    </row>
    <row r="44" ht="22.5" customHeight="1" spans="1:1" x14ac:dyDescent="0.25">
      <c r="A44" s="2" t="s">
        <v>476</v>
      </c>
    </row>
    <row r="45" ht="15" customHeight="1" spans="1:9" x14ac:dyDescent="0.25">
      <c r="A45" s="74" t="s">
        <v>317</v>
      </c>
      <c r="B45" s="74" t="s">
        <v>318</v>
      </c>
      <c r="C45" s="74" t="s">
        <v>319</v>
      </c>
      <c r="D45" s="74" t="s">
        <v>320</v>
      </c>
      <c r="E45" s="74" t="s">
        <v>321</v>
      </c>
      <c r="F45" s="74" t="s">
        <v>322</v>
      </c>
      <c r="G45" s="74" t="s">
        <v>323</v>
      </c>
      <c r="H45" s="74" t="s">
        <v>324</v>
      </c>
      <c r="I45" s="74" t="s">
        <v>325</v>
      </c>
    </row>
    <row r="46" ht="26.25" customHeight="1" spans="1:9" x14ac:dyDescent="0.25">
      <c r="A46" s="75" t="s">
        <v>477</v>
      </c>
      <c r="B46" s="76" t="s">
        <v>171</v>
      </c>
      <c r="C46" s="83" t="s">
        <v>151</v>
      </c>
      <c r="D46" s="78" t="s">
        <v>340</v>
      </c>
      <c r="E46" s="79" t="s">
        <v>478</v>
      </c>
      <c r="F46" s="79" t="s">
        <v>479</v>
      </c>
      <c r="G46" s="80" t="s">
        <v>480</v>
      </c>
      <c r="H46" s="80" t="s">
        <v>481</v>
      </c>
      <c r="I46" s="79" t="s">
        <v>482</v>
      </c>
    </row>
    <row r="47" ht="15" customHeight="1" spans="1:9" x14ac:dyDescent="0.25">
      <c r="A47" s="75" t="s">
        <v>483</v>
      </c>
      <c r="B47" s="76" t="s">
        <v>172</v>
      </c>
      <c r="C47" s="83" t="s">
        <v>151</v>
      </c>
      <c r="D47" s="78" t="s">
        <v>414</v>
      </c>
      <c r="E47" s="79" t="s">
        <v>484</v>
      </c>
      <c r="F47" s="79" t="s">
        <v>485</v>
      </c>
      <c r="G47" s="80" t="s">
        <v>486</v>
      </c>
      <c r="H47" s="80" t="s">
        <v>487</v>
      </c>
      <c r="I47" s="79" t="s">
        <v>488</v>
      </c>
    </row>
    <row r="48" ht="15" customHeight="1" spans="1:9" x14ac:dyDescent="0.25">
      <c r="A48" s="75" t="s">
        <v>489</v>
      </c>
      <c r="B48" s="76" t="s">
        <v>173</v>
      </c>
      <c r="C48" s="83" t="s">
        <v>151</v>
      </c>
      <c r="D48" s="78" t="s">
        <v>340</v>
      </c>
      <c r="E48" s="79" t="s">
        <v>490</v>
      </c>
      <c r="F48" s="79" t="s">
        <v>491</v>
      </c>
      <c r="G48" s="80" t="s">
        <v>492</v>
      </c>
      <c r="H48" s="80" t="s">
        <v>493</v>
      </c>
      <c r="I48" s="79" t="s">
        <v>494</v>
      </c>
    </row>
    <row r="49" ht="15" customHeight="1" spans="1:9" x14ac:dyDescent="0.25">
      <c r="A49" s="75" t="s">
        <v>495</v>
      </c>
      <c r="B49" s="76" t="s">
        <v>174</v>
      </c>
      <c r="C49" s="86" t="s">
        <v>150</v>
      </c>
      <c r="D49" s="78" t="s">
        <v>150</v>
      </c>
      <c r="E49" s="79" t="s">
        <v>327</v>
      </c>
      <c r="F49" s="79" t="s">
        <v>496</v>
      </c>
      <c r="G49" s="80" t="s">
        <v>421</v>
      </c>
      <c r="H49" s="80" t="s">
        <v>497</v>
      </c>
      <c r="I49" s="80" t="s">
        <v>149</v>
      </c>
    </row>
    <row r="50" ht="15" customHeight="1" spans="1:9" x14ac:dyDescent="0.25">
      <c r="A50" s="75" t="s">
        <v>498</v>
      </c>
      <c r="B50" s="76" t="s">
        <v>175</v>
      </c>
      <c r="C50" s="86" t="s">
        <v>150</v>
      </c>
      <c r="D50" s="78" t="s">
        <v>150</v>
      </c>
      <c r="E50" s="79" t="s">
        <v>327</v>
      </c>
      <c r="F50" s="79" t="s">
        <v>499</v>
      </c>
      <c r="G50" s="80" t="s">
        <v>421</v>
      </c>
      <c r="H50" s="80" t="s">
        <v>500</v>
      </c>
      <c r="I50" s="80" t="s">
        <v>149</v>
      </c>
    </row>
    <row r="51" ht="15" customHeight="1" spans="1:9" x14ac:dyDescent="0.25">
      <c r="A51" s="75" t="s">
        <v>501</v>
      </c>
      <c r="B51" s="76" t="s">
        <v>502</v>
      </c>
      <c r="C51" s="83" t="s">
        <v>503</v>
      </c>
      <c r="D51" s="78" t="s">
        <v>340</v>
      </c>
      <c r="E51" s="79" t="s">
        <v>431</v>
      </c>
      <c r="F51" s="79" t="s">
        <v>504</v>
      </c>
      <c r="G51" s="80" t="s">
        <v>505</v>
      </c>
      <c r="H51" s="80" t="s">
        <v>506</v>
      </c>
      <c r="I51" s="79" t="s">
        <v>507</v>
      </c>
    </row>
    <row r="52" ht="15" customHeight="1" spans="1:9" x14ac:dyDescent="0.25">
      <c r="A52" s="75" t="s">
        <v>508</v>
      </c>
      <c r="B52" s="76" t="s">
        <v>470</v>
      </c>
      <c r="C52" s="83" t="s">
        <v>503</v>
      </c>
      <c r="D52" s="78" t="s">
        <v>340</v>
      </c>
      <c r="E52" s="79" t="s">
        <v>509</v>
      </c>
      <c r="F52" s="79" t="s">
        <v>510</v>
      </c>
      <c r="G52" s="80" t="s">
        <v>511</v>
      </c>
      <c r="H52" s="80" t="s">
        <v>512</v>
      </c>
      <c r="I52" s="79" t="s">
        <v>513</v>
      </c>
    </row>
    <row r="53" ht="23.25" customHeight="1" spans="1:9" x14ac:dyDescent="0.25">
      <c r="A53" s="75" t="s">
        <v>514</v>
      </c>
      <c r="B53" s="76" t="s">
        <v>515</v>
      </c>
      <c r="C53" s="83" t="s">
        <v>151</v>
      </c>
      <c r="D53" s="78" t="s">
        <v>333</v>
      </c>
      <c r="E53" s="79" t="s">
        <v>516</v>
      </c>
      <c r="F53" s="80" t="s">
        <v>517</v>
      </c>
      <c r="G53" s="80" t="s">
        <v>518</v>
      </c>
      <c r="H53" s="80" t="s">
        <v>519</v>
      </c>
      <c r="I53" s="79" t="s">
        <v>520</v>
      </c>
    </row>
    <row r="54" ht="23.25" customHeight="1" spans="1:9" x14ac:dyDescent="0.25">
      <c r="A54" s="75" t="s">
        <v>521</v>
      </c>
      <c r="B54" s="76" t="s">
        <v>522</v>
      </c>
      <c r="C54" s="83" t="s">
        <v>503</v>
      </c>
      <c r="D54" s="78" t="s">
        <v>414</v>
      </c>
      <c r="E54" s="79" t="s">
        <v>523</v>
      </c>
      <c r="F54" s="79" t="s">
        <v>524</v>
      </c>
      <c r="G54" s="80" t="s">
        <v>525</v>
      </c>
      <c r="H54" s="80" t="s">
        <v>526</v>
      </c>
      <c r="I54" s="79" t="s">
        <v>527</v>
      </c>
    </row>
    <row r="56" ht="23.1" customHeight="1" spans="1:1" x14ac:dyDescent="0.25">
      <c r="A56" s="2" t="s">
        <v>528</v>
      </c>
    </row>
    <row r="57" ht="15" customHeight="1" spans="1:9" x14ac:dyDescent="0.25">
      <c r="A57" s="74" t="s">
        <v>317</v>
      </c>
      <c r="B57" s="74" t="s">
        <v>318</v>
      </c>
      <c r="C57" s="74" t="s">
        <v>319</v>
      </c>
      <c r="D57" s="74" t="s">
        <v>320</v>
      </c>
      <c r="E57" s="74" t="s">
        <v>321</v>
      </c>
      <c r="F57" s="74" t="s">
        <v>322</v>
      </c>
      <c r="G57" s="74" t="s">
        <v>323</v>
      </c>
      <c r="H57" s="74" t="s">
        <v>324</v>
      </c>
      <c r="I57" s="74" t="s">
        <v>325</v>
      </c>
    </row>
    <row r="58" ht="15" customHeight="1" spans="1:9" x14ac:dyDescent="0.25">
      <c r="A58" s="75" t="s">
        <v>529</v>
      </c>
      <c r="B58" s="76" t="s">
        <v>313</v>
      </c>
      <c r="C58" s="83" t="s">
        <v>149</v>
      </c>
      <c r="D58" s="78" t="s">
        <v>326</v>
      </c>
      <c r="E58" s="79" t="s">
        <v>530</v>
      </c>
      <c r="F58" s="79" t="s">
        <v>531</v>
      </c>
      <c r="G58" s="80" t="s">
        <v>532</v>
      </c>
      <c r="H58" s="80" t="s">
        <v>533</v>
      </c>
      <c r="I58" s="79" t="s">
        <v>534</v>
      </c>
    </row>
    <row r="59" ht="15" customHeight="1" spans="1:9" x14ac:dyDescent="0.25">
      <c r="A59" s="75" t="s">
        <v>535</v>
      </c>
      <c r="B59" s="76" t="s">
        <v>176</v>
      </c>
      <c r="C59" s="97" t="s">
        <v>150</v>
      </c>
      <c r="D59" s="78" t="s">
        <v>150</v>
      </c>
      <c r="E59" s="79" t="s">
        <v>142</v>
      </c>
      <c r="F59" s="79" t="s">
        <v>536</v>
      </c>
      <c r="G59" s="80" t="s">
        <v>537</v>
      </c>
      <c r="H59" s="80" t="s">
        <v>344</v>
      </c>
      <c r="I59" s="79" t="s">
        <v>149</v>
      </c>
    </row>
    <row r="60" ht="15" customHeight="1" spans="1:9" x14ac:dyDescent="0.25">
      <c r="A60" s="75" t="s">
        <v>538</v>
      </c>
      <c r="B60" s="76" t="s">
        <v>177</v>
      </c>
      <c r="C60" s="97" t="s">
        <v>150</v>
      </c>
      <c r="D60" s="78" t="s">
        <v>150</v>
      </c>
      <c r="E60" s="79" t="s">
        <v>142</v>
      </c>
      <c r="F60" s="79" t="s">
        <v>539</v>
      </c>
      <c r="G60" s="80" t="s">
        <v>540</v>
      </c>
      <c r="H60" s="80" t="s">
        <v>350</v>
      </c>
      <c r="I60" s="79" t="s">
        <v>149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기입요령</vt:lpstr>
      <vt:lpstr>렌트롤</vt:lpstr>
      <vt:lpstr>자동검증</vt:lpstr>
      <vt:lpstr>컬럼정의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CREDEAL</dc:creator>
  <dc:title/>
  <dc:subject/>
  <dc:description/>
  <dc:language>en-US</dc:language>
  <cp:lastModifiedBy>Unknown</cp:lastModifiedBy>
  <dcterms:created xsi:type="dcterms:W3CDTF">2026-10-05T06:05:19Z</dcterms:created>
  <dcterms:modified xsi:type="dcterms:W3CDTF">2026-10-09T23:35:23Z</dcterms:modified>
</cp:coreProperties>
</file>